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WSSM\Excel Sheets\"/>
    </mc:Choice>
  </mc:AlternateContent>
  <xr:revisionPtr revIDLastSave="0" documentId="13_ncr:1_{D5A8A71C-F579-4C47-B9CA-DC0B05A68E63}" xr6:coauthVersionLast="47" xr6:coauthVersionMax="47" xr10:uidLastSave="{00000000-0000-0000-0000-000000000000}"/>
  <bookViews>
    <workbookView xWindow="-108" yWindow="-108" windowWidth="23256" windowHeight="12456" tabRatio="500" firstSheet="7" activeTab="10" xr2:uid="{00000000-000D-0000-FFFF-FFFF00000000}"/>
  </bookViews>
  <sheets>
    <sheet name="Mastersheet" sheetId="3" r:id="rId1"/>
    <sheet name="Spatial" sheetId="4" r:id="rId2"/>
    <sheet name="Service Coverage" sheetId="5" r:id="rId3"/>
    <sheet name="Adequacy" sheetId="6" r:id="rId4"/>
    <sheet name="Water Quality Score" sheetId="7" r:id="rId5"/>
    <sheet name="Reliability score" sheetId="8" r:id="rId6"/>
    <sheet name="NRW" sheetId="9" r:id="rId7"/>
    <sheet name="O&amp;M score" sheetId="10" r:id="rId8"/>
    <sheet name="Metering Ratio Score" sheetId="11" r:id="rId9"/>
    <sheet name="Grievance Addressal" sheetId="12" r:id="rId10"/>
    <sheet name="Summary_Index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2" l="1"/>
  <c r="B53" i="12"/>
  <c r="B54" i="12"/>
  <c r="B55" i="12"/>
  <c r="B56" i="12"/>
  <c r="B57" i="12"/>
  <c r="B51" i="12"/>
  <c r="B51" i="11"/>
  <c r="B51" i="10"/>
  <c r="B50" i="9"/>
  <c r="B51" i="8"/>
  <c r="B51" i="7"/>
  <c r="B51" i="6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1" i="5"/>
  <c r="B50" i="12"/>
  <c r="B50" i="11"/>
  <c r="B50" i="10"/>
  <c r="B49" i="9"/>
  <c r="B50" i="8"/>
  <c r="B50" i="7"/>
  <c r="B50" i="6"/>
  <c r="B50" i="5"/>
  <c r="G49" i="6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95" i="3"/>
  <c r="X95" i="3" s="1"/>
  <c r="B95" i="3"/>
  <c r="C95" i="3"/>
  <c r="D95" i="3"/>
  <c r="E95" i="3"/>
  <c r="F95" i="3"/>
  <c r="J95" i="3" s="1"/>
  <c r="G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AA95" i="3"/>
  <c r="AB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V95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94" i="3"/>
  <c r="B94" i="3"/>
  <c r="C94" i="3"/>
  <c r="D94" i="3"/>
  <c r="E94" i="3"/>
  <c r="F94" i="3"/>
  <c r="G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93" i="3"/>
  <c r="X93" i="3" s="1"/>
  <c r="B93" i="3"/>
  <c r="C93" i="3"/>
  <c r="D93" i="3"/>
  <c r="E93" i="3"/>
  <c r="F93" i="3"/>
  <c r="G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Y93" i="3"/>
  <c r="Z93" i="3"/>
  <c r="AB93" i="3"/>
  <c r="AH93" i="3"/>
  <c r="AI93" i="3"/>
  <c r="AJ93" i="3"/>
  <c r="AK93" i="3"/>
  <c r="AL93" i="3"/>
  <c r="AM93" i="3"/>
  <c r="AN93" i="3"/>
  <c r="AO93" i="3"/>
  <c r="AP93" i="3"/>
  <c r="AQ93" i="3"/>
  <c r="AR93" i="3"/>
  <c r="AT93" i="3"/>
  <c r="AU93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50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7" i="3"/>
  <c r="Y38" i="3"/>
  <c r="Y39" i="3"/>
  <c r="Y40" i="3"/>
  <c r="Y41" i="3"/>
  <c r="Y42" i="3"/>
  <c r="Y43" i="3"/>
  <c r="Y44" i="3"/>
  <c r="Y45" i="3"/>
  <c r="Y46" i="3"/>
  <c r="Y47" i="3"/>
  <c r="Y48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V87" i="3"/>
  <c r="V88" i="3"/>
  <c r="V89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A81" i="3"/>
  <c r="R81" i="3" s="1"/>
  <c r="A82" i="3"/>
  <c r="A83" i="3"/>
  <c r="A84" i="3"/>
  <c r="O84" i="3" s="1"/>
  <c r="A85" i="3"/>
  <c r="A86" i="3"/>
  <c r="K86" i="3" s="1"/>
  <c r="A87" i="3"/>
  <c r="AK87" i="3" s="1"/>
  <c r="A88" i="3"/>
  <c r="A89" i="3"/>
  <c r="N89" i="3" s="1"/>
  <c r="A90" i="3"/>
  <c r="N90" i="3" s="1"/>
  <c r="A91" i="3"/>
  <c r="AI91" i="3" s="1"/>
  <c r="A92" i="3"/>
  <c r="N92" i="3" s="1"/>
  <c r="B81" i="3"/>
  <c r="B82" i="3"/>
  <c r="B83" i="3"/>
  <c r="B84" i="3"/>
  <c r="B85" i="3"/>
  <c r="B86" i="3"/>
  <c r="B87" i="3"/>
  <c r="B88" i="3"/>
  <c r="B89" i="3"/>
  <c r="B90" i="3"/>
  <c r="B91" i="3"/>
  <c r="B92" i="3"/>
  <c r="C81" i="3"/>
  <c r="C82" i="3"/>
  <c r="C83" i="3"/>
  <c r="C84" i="3"/>
  <c r="C85" i="3"/>
  <c r="C86" i="3"/>
  <c r="C87" i="3"/>
  <c r="C88" i="3"/>
  <c r="C89" i="3"/>
  <c r="C90" i="3"/>
  <c r="C91" i="3"/>
  <c r="C92" i="3"/>
  <c r="D81" i="3"/>
  <c r="D82" i="3"/>
  <c r="J82" i="3" s="1"/>
  <c r="D83" i="3"/>
  <c r="J83" i="3" s="1"/>
  <c r="D84" i="3"/>
  <c r="D85" i="3"/>
  <c r="D86" i="3"/>
  <c r="D87" i="3"/>
  <c r="D88" i="3"/>
  <c r="D89" i="3"/>
  <c r="D90" i="3"/>
  <c r="D91" i="3"/>
  <c r="D92" i="3"/>
  <c r="E81" i="3"/>
  <c r="E82" i="3"/>
  <c r="E83" i="3"/>
  <c r="E84" i="3"/>
  <c r="E85" i="3"/>
  <c r="E86" i="3"/>
  <c r="E87" i="3"/>
  <c r="E88" i="3"/>
  <c r="E89" i="3"/>
  <c r="E90" i="3"/>
  <c r="E91" i="3"/>
  <c r="E92" i="3"/>
  <c r="F81" i="3"/>
  <c r="J81" i="3" s="1"/>
  <c r="F82" i="3"/>
  <c r="F83" i="3"/>
  <c r="F84" i="3"/>
  <c r="J84" i="3" s="1"/>
  <c r="F85" i="3"/>
  <c r="F86" i="3"/>
  <c r="J86" i="3" s="1"/>
  <c r="F87" i="3"/>
  <c r="J87" i="3" s="1"/>
  <c r="F88" i="3"/>
  <c r="F89" i="3"/>
  <c r="F90" i="3"/>
  <c r="F91" i="3"/>
  <c r="F92" i="3"/>
  <c r="G81" i="3"/>
  <c r="G82" i="3"/>
  <c r="G83" i="3"/>
  <c r="G84" i="3"/>
  <c r="G85" i="3"/>
  <c r="G86" i="3"/>
  <c r="G87" i="3"/>
  <c r="G88" i="3"/>
  <c r="G89" i="3"/>
  <c r="G90" i="3"/>
  <c r="G91" i="3"/>
  <c r="G92" i="3"/>
  <c r="J85" i="3"/>
  <c r="J88" i="3"/>
  <c r="J89" i="3"/>
  <c r="J90" i="3"/>
  <c r="J91" i="3"/>
  <c r="J92" i="3"/>
  <c r="K81" i="3"/>
  <c r="K82" i="3"/>
  <c r="K83" i="3"/>
  <c r="K84" i="3"/>
  <c r="K85" i="3"/>
  <c r="K88" i="3"/>
  <c r="K90" i="3"/>
  <c r="K91" i="3"/>
  <c r="L81" i="3"/>
  <c r="L82" i="3"/>
  <c r="L83" i="3"/>
  <c r="L84" i="3"/>
  <c r="L85" i="3"/>
  <c r="L86" i="3"/>
  <c r="L87" i="3"/>
  <c r="L88" i="3"/>
  <c r="L89" i="3"/>
  <c r="L90" i="3"/>
  <c r="L91" i="3"/>
  <c r="L92" i="3"/>
  <c r="M81" i="3"/>
  <c r="M82" i="3"/>
  <c r="M83" i="3"/>
  <c r="M84" i="3"/>
  <c r="M85" i="3"/>
  <c r="M86" i="3"/>
  <c r="M87" i="3"/>
  <c r="M88" i="3"/>
  <c r="M89" i="3"/>
  <c r="M90" i="3"/>
  <c r="M91" i="3"/>
  <c r="M92" i="3"/>
  <c r="N81" i="3"/>
  <c r="N82" i="3"/>
  <c r="N83" i="3"/>
  <c r="N84" i="3"/>
  <c r="N85" i="3"/>
  <c r="N86" i="3"/>
  <c r="N87" i="3"/>
  <c r="N88" i="3"/>
  <c r="O81" i="3"/>
  <c r="O82" i="3"/>
  <c r="O83" i="3"/>
  <c r="O85" i="3"/>
  <c r="O88" i="3"/>
  <c r="O89" i="3"/>
  <c r="O90" i="3"/>
  <c r="O91" i="3"/>
  <c r="O92" i="3"/>
  <c r="P81" i="3"/>
  <c r="P82" i="3"/>
  <c r="P83" i="3"/>
  <c r="P84" i="3"/>
  <c r="P85" i="3"/>
  <c r="P88" i="3"/>
  <c r="P90" i="3"/>
  <c r="P91" i="3"/>
  <c r="Q81" i="3"/>
  <c r="Q82" i="3"/>
  <c r="Q83" i="3"/>
  <c r="Q84" i="3"/>
  <c r="Q85" i="3"/>
  <c r="Q86" i="3"/>
  <c r="Q87" i="3"/>
  <c r="Q88" i="3"/>
  <c r="Q89" i="3"/>
  <c r="Q90" i="3"/>
  <c r="Q91" i="3"/>
  <c r="Q92" i="3"/>
  <c r="S82" i="3"/>
  <c r="S83" i="3"/>
  <c r="S84" i="3"/>
  <c r="S85" i="3"/>
  <c r="S86" i="3"/>
  <c r="S87" i="3"/>
  <c r="S88" i="3"/>
  <c r="S89" i="3"/>
  <c r="S90" i="3"/>
  <c r="S91" i="3"/>
  <c r="S92" i="3"/>
  <c r="V90" i="3"/>
  <c r="V91" i="3"/>
  <c r="W81" i="3"/>
  <c r="W82" i="3"/>
  <c r="W83" i="3"/>
  <c r="W84" i="3"/>
  <c r="W85" i="3"/>
  <c r="W86" i="3"/>
  <c r="W87" i="3"/>
  <c r="W88" i="3"/>
  <c r="W89" i="3"/>
  <c r="W90" i="3"/>
  <c r="W91" i="3"/>
  <c r="W92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I81" i="3"/>
  <c r="AI82" i="3"/>
  <c r="AI83" i="3"/>
  <c r="AI84" i="3"/>
  <c r="AI85" i="3"/>
  <c r="AI86" i="3"/>
  <c r="AI87" i="3"/>
  <c r="AI88" i="3"/>
  <c r="AJ81" i="3"/>
  <c r="AJ82" i="3"/>
  <c r="AJ83" i="3"/>
  <c r="AJ85" i="3"/>
  <c r="AJ88" i="3"/>
  <c r="AJ89" i="3"/>
  <c r="AJ90" i="3"/>
  <c r="AJ91" i="3"/>
  <c r="AJ92" i="3"/>
  <c r="AK81" i="3"/>
  <c r="AK82" i="3"/>
  <c r="AK83" i="3"/>
  <c r="AK84" i="3"/>
  <c r="AK85" i="3"/>
  <c r="AK88" i="3"/>
  <c r="AK90" i="3"/>
  <c r="AK91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N81" i="3"/>
  <c r="AN82" i="3"/>
  <c r="AN83" i="3"/>
  <c r="AN84" i="3"/>
  <c r="AN85" i="3"/>
  <c r="AN86" i="3"/>
  <c r="AN87" i="3"/>
  <c r="AN88" i="3"/>
  <c r="AO81" i="3"/>
  <c r="AO82" i="3"/>
  <c r="AO83" i="3"/>
  <c r="AO85" i="3"/>
  <c r="AO88" i="3"/>
  <c r="AO89" i="3"/>
  <c r="AO90" i="3"/>
  <c r="AO91" i="3"/>
  <c r="AO92" i="3"/>
  <c r="AP81" i="3"/>
  <c r="AP82" i="3"/>
  <c r="AP83" i="3"/>
  <c r="AP84" i="3"/>
  <c r="AP85" i="3"/>
  <c r="AP88" i="3"/>
  <c r="AP90" i="3"/>
  <c r="AP91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S81" i="3"/>
  <c r="AS82" i="3"/>
  <c r="AS83" i="3"/>
  <c r="AS84" i="3"/>
  <c r="AS85" i="3"/>
  <c r="AS86" i="3"/>
  <c r="AS87" i="3"/>
  <c r="AS88" i="3"/>
  <c r="AT81" i="3"/>
  <c r="AT82" i="3"/>
  <c r="AT83" i="3"/>
  <c r="AT85" i="3"/>
  <c r="AT88" i="3"/>
  <c r="AT89" i="3"/>
  <c r="AT90" i="3"/>
  <c r="AT91" i="3"/>
  <c r="AT92" i="3"/>
  <c r="AU81" i="3"/>
  <c r="AU82" i="3"/>
  <c r="AU83" i="3"/>
  <c r="AU84" i="3"/>
  <c r="AU85" i="3"/>
  <c r="AU88" i="3"/>
  <c r="AU89" i="3"/>
  <c r="AU90" i="3"/>
  <c r="AU91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2" i="3"/>
  <c r="R83" i="3"/>
  <c r="R84" i="3"/>
  <c r="R85" i="3"/>
  <c r="R86" i="3"/>
  <c r="R87" i="3"/>
  <c r="R88" i="3"/>
  <c r="R89" i="3"/>
  <c r="R90" i="3"/>
  <c r="R91" i="3"/>
  <c r="R92" i="3"/>
  <c r="A75" i="3"/>
  <c r="A76" i="3"/>
  <c r="A77" i="3"/>
  <c r="P77" i="3" s="1"/>
  <c r="A78" i="3"/>
  <c r="A79" i="3"/>
  <c r="A80" i="3"/>
  <c r="B75" i="3"/>
  <c r="B76" i="3"/>
  <c r="B77" i="3"/>
  <c r="B78" i="3"/>
  <c r="B79" i="3"/>
  <c r="B80" i="3"/>
  <c r="C75" i="3"/>
  <c r="C76" i="3"/>
  <c r="C77" i="3"/>
  <c r="C78" i="3"/>
  <c r="C79" i="3"/>
  <c r="C80" i="3"/>
  <c r="D75" i="3"/>
  <c r="D76" i="3"/>
  <c r="D77" i="3"/>
  <c r="D78" i="3"/>
  <c r="D79" i="3"/>
  <c r="D80" i="3"/>
  <c r="E75" i="3"/>
  <c r="E76" i="3"/>
  <c r="E77" i="3"/>
  <c r="E78" i="3"/>
  <c r="E79" i="3"/>
  <c r="E80" i="3"/>
  <c r="F75" i="3"/>
  <c r="J75" i="3" s="1"/>
  <c r="F76" i="3"/>
  <c r="J76" i="3" s="1"/>
  <c r="F77" i="3"/>
  <c r="J77" i="3" s="1"/>
  <c r="F78" i="3"/>
  <c r="J78" i="3" s="1"/>
  <c r="F79" i="3"/>
  <c r="J79" i="3" s="1"/>
  <c r="F80" i="3"/>
  <c r="J80" i="3" s="1"/>
  <c r="G75" i="3"/>
  <c r="G76" i="3"/>
  <c r="G77" i="3"/>
  <c r="G78" i="3"/>
  <c r="G79" i="3"/>
  <c r="G80" i="3"/>
  <c r="K75" i="3"/>
  <c r="K76" i="3"/>
  <c r="K77" i="3"/>
  <c r="K78" i="3"/>
  <c r="K79" i="3"/>
  <c r="K80" i="3"/>
  <c r="L75" i="3"/>
  <c r="L76" i="3"/>
  <c r="L77" i="3"/>
  <c r="L78" i="3"/>
  <c r="L79" i="3"/>
  <c r="L80" i="3"/>
  <c r="M75" i="3"/>
  <c r="M76" i="3"/>
  <c r="M77" i="3"/>
  <c r="M78" i="3"/>
  <c r="M79" i="3"/>
  <c r="M80" i="3"/>
  <c r="N75" i="3"/>
  <c r="N76" i="3"/>
  <c r="N77" i="3"/>
  <c r="N78" i="3"/>
  <c r="N79" i="3"/>
  <c r="N80" i="3"/>
  <c r="O75" i="3"/>
  <c r="O76" i="3"/>
  <c r="O77" i="3"/>
  <c r="O78" i="3"/>
  <c r="O79" i="3"/>
  <c r="O80" i="3"/>
  <c r="P75" i="3"/>
  <c r="P76" i="3"/>
  <c r="P78" i="3"/>
  <c r="P79" i="3"/>
  <c r="W78" i="3"/>
  <c r="W79" i="3"/>
  <c r="W80" i="3"/>
  <c r="AH75" i="3"/>
  <c r="AH76" i="3"/>
  <c r="AH77" i="3"/>
  <c r="AH78" i="3"/>
  <c r="AH79" i="3"/>
  <c r="AH80" i="3"/>
  <c r="AI75" i="3"/>
  <c r="AI76" i="3"/>
  <c r="AI77" i="3"/>
  <c r="AI78" i="3"/>
  <c r="AI79" i="3"/>
  <c r="AI80" i="3"/>
  <c r="AJ75" i="3"/>
  <c r="AJ76" i="3"/>
  <c r="AJ77" i="3"/>
  <c r="AJ78" i="3"/>
  <c r="AJ79" i="3"/>
  <c r="AJ80" i="3"/>
  <c r="AK75" i="3"/>
  <c r="AK76" i="3"/>
  <c r="AK78" i="3"/>
  <c r="AK79" i="3"/>
  <c r="AL75" i="3"/>
  <c r="AL76" i="3"/>
  <c r="AL78" i="3"/>
  <c r="AL79" i="3"/>
  <c r="AL80" i="3"/>
  <c r="AM75" i="3"/>
  <c r="AM76" i="3"/>
  <c r="AM77" i="3"/>
  <c r="AM78" i="3"/>
  <c r="AM79" i="3"/>
  <c r="AM80" i="3"/>
  <c r="AN75" i="3"/>
  <c r="AN76" i="3"/>
  <c r="AN77" i="3"/>
  <c r="AN78" i="3"/>
  <c r="AN79" i="3"/>
  <c r="AO75" i="3"/>
  <c r="AO78" i="3"/>
  <c r="AO79" i="3"/>
  <c r="AO80" i="3"/>
  <c r="AP75" i="3"/>
  <c r="AP76" i="3"/>
  <c r="AP77" i="3"/>
  <c r="AP78" i="3"/>
  <c r="AP79" i="3"/>
  <c r="AP80" i="3"/>
  <c r="AQ75" i="3"/>
  <c r="AQ76" i="3"/>
  <c r="AQ77" i="3"/>
  <c r="AQ78" i="3"/>
  <c r="AQ79" i="3"/>
  <c r="AQ80" i="3"/>
  <c r="AR75" i="3"/>
  <c r="AR76" i="3"/>
  <c r="AR77" i="3"/>
  <c r="AR78" i="3"/>
  <c r="AR79" i="3"/>
  <c r="AR80" i="3"/>
  <c r="AS75" i="3"/>
  <c r="AS76" i="3"/>
  <c r="AS77" i="3"/>
  <c r="AS78" i="3"/>
  <c r="AS79" i="3"/>
  <c r="AS80" i="3"/>
  <c r="AT75" i="3"/>
  <c r="AT76" i="3"/>
  <c r="AT77" i="3"/>
  <c r="AT78" i="3"/>
  <c r="AT79" i="3"/>
  <c r="AT80" i="3"/>
  <c r="AU75" i="3"/>
  <c r="AU76" i="3"/>
  <c r="AU78" i="3"/>
  <c r="AU79" i="3"/>
  <c r="AV75" i="3"/>
  <c r="AV76" i="3"/>
  <c r="AV78" i="3"/>
  <c r="AV79" i="3"/>
  <c r="AV80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A74" i="3"/>
  <c r="B74" i="3"/>
  <c r="C74" i="3"/>
  <c r="D74" i="3"/>
  <c r="E74" i="3"/>
  <c r="F74" i="3"/>
  <c r="J74" i="3" s="1"/>
  <c r="G74" i="3"/>
  <c r="K74" i="3"/>
  <c r="L74" i="3"/>
  <c r="M74" i="3"/>
  <c r="N74" i="3"/>
  <c r="O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J34" i="3"/>
  <c r="J36" i="3"/>
  <c r="J37" i="3"/>
  <c r="J38" i="3"/>
  <c r="J39" i="3"/>
  <c r="J40" i="3"/>
  <c r="J41" i="3"/>
  <c r="J42" i="3"/>
  <c r="J53" i="3"/>
  <c r="J54" i="3"/>
  <c r="J56" i="3"/>
  <c r="J57" i="3"/>
  <c r="J59" i="3"/>
  <c r="J60" i="3"/>
  <c r="J61" i="3"/>
  <c r="J62" i="3"/>
  <c r="J63" i="3"/>
  <c r="J64" i="3"/>
  <c r="J67" i="3"/>
  <c r="J73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A72" i="3"/>
  <c r="A73" i="3"/>
  <c r="B72" i="3"/>
  <c r="B73" i="3"/>
  <c r="C72" i="3"/>
  <c r="C73" i="3"/>
  <c r="D72" i="3"/>
  <c r="J72" i="3" s="1"/>
  <c r="D73" i="3"/>
  <c r="E72" i="3"/>
  <c r="E73" i="3"/>
  <c r="L72" i="3"/>
  <c r="L73" i="3"/>
  <c r="AH72" i="3"/>
  <c r="AH73" i="3"/>
  <c r="AI72" i="3"/>
  <c r="AI73" i="3"/>
  <c r="AJ73" i="3"/>
  <c r="AK72" i="3"/>
  <c r="AK73" i="3"/>
  <c r="AL72" i="3"/>
  <c r="AL73" i="3"/>
  <c r="AM72" i="3"/>
  <c r="AM73" i="3"/>
  <c r="AN72" i="3"/>
  <c r="AN73" i="3"/>
  <c r="AO72" i="3"/>
  <c r="AO73" i="3"/>
  <c r="AP72" i="3"/>
  <c r="AP73" i="3"/>
  <c r="AQ72" i="3"/>
  <c r="AQ73" i="3"/>
  <c r="AR72" i="3"/>
  <c r="AR73" i="3"/>
  <c r="AS72" i="3"/>
  <c r="AS73" i="3"/>
  <c r="AT73" i="3"/>
  <c r="AU72" i="3"/>
  <c r="AU73" i="3"/>
  <c r="AV72" i="3"/>
  <c r="AV73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J51" i="3" s="1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D36" i="3"/>
  <c r="D37" i="3"/>
  <c r="D38" i="3"/>
  <c r="D39" i="3"/>
  <c r="D40" i="3"/>
  <c r="D41" i="3"/>
  <c r="D42" i="3"/>
  <c r="D43" i="3"/>
  <c r="J43" i="3" s="1"/>
  <c r="D44" i="3"/>
  <c r="J44" i="3" s="1"/>
  <c r="D45" i="3"/>
  <c r="J45" i="3" s="1"/>
  <c r="D46" i="3"/>
  <c r="J46" i="3" s="1"/>
  <c r="D47" i="3"/>
  <c r="J47" i="3" s="1"/>
  <c r="D48" i="3"/>
  <c r="J48" i="3" s="1"/>
  <c r="D49" i="3"/>
  <c r="J49" i="3" s="1"/>
  <c r="D50" i="3"/>
  <c r="D51" i="3"/>
  <c r="D52" i="3"/>
  <c r="J52" i="3" s="1"/>
  <c r="D53" i="3"/>
  <c r="D54" i="3"/>
  <c r="D55" i="3"/>
  <c r="J55" i="3" s="1"/>
  <c r="D56" i="3"/>
  <c r="D57" i="3"/>
  <c r="D58" i="3"/>
  <c r="J58" i="3" s="1"/>
  <c r="D59" i="3"/>
  <c r="D60" i="3"/>
  <c r="D61" i="3"/>
  <c r="D62" i="3"/>
  <c r="D63" i="3"/>
  <c r="D64" i="3"/>
  <c r="D65" i="3"/>
  <c r="J65" i="3" s="1"/>
  <c r="D66" i="3"/>
  <c r="J66" i="3" s="1"/>
  <c r="D67" i="3"/>
  <c r="D68" i="3"/>
  <c r="J68" i="3" s="1"/>
  <c r="D69" i="3"/>
  <c r="J69" i="3" s="1"/>
  <c r="D70" i="3"/>
  <c r="J70" i="3" s="1"/>
  <c r="D71" i="3"/>
  <c r="J71" i="3" s="1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N49" i="13"/>
  <c r="N50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M49" i="13"/>
  <c r="M50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L49" i="13"/>
  <c r="L50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K49" i="13"/>
  <c r="K50" i="13"/>
  <c r="K51" i="13"/>
  <c r="K52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J49" i="13"/>
  <c r="J50" i="13"/>
  <c r="J51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I49" i="13"/>
  <c r="I50" i="13"/>
  <c r="I51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H49" i="13"/>
  <c r="H50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G49" i="13"/>
  <c r="G50" i="13"/>
  <c r="G51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F49" i="13"/>
  <c r="F50" i="13"/>
  <c r="F51" i="13"/>
  <c r="F53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E49" i="13"/>
  <c r="E50" i="13"/>
  <c r="E51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D48" i="13"/>
  <c r="D49" i="13"/>
  <c r="D50" i="13"/>
  <c r="D51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C48" i="13"/>
  <c r="C49" i="13"/>
  <c r="C50" i="13"/>
  <c r="C51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47" i="13"/>
  <c r="B50" i="13"/>
  <c r="B51" i="13"/>
  <c r="A64" i="13"/>
  <c r="A65" i="13" s="1"/>
  <c r="A66" i="13" s="1"/>
  <c r="A67" i="13" s="1"/>
  <c r="A68" i="13" s="1"/>
  <c r="A69" i="13" s="1"/>
  <c r="A70" i="13" s="1"/>
  <c r="A71" i="13" s="1"/>
  <c r="A72" i="13" s="1"/>
  <c r="A56" i="13"/>
  <c r="A57" i="13"/>
  <c r="A58" i="13" s="1"/>
  <c r="A59" i="13" s="1"/>
  <c r="A60" i="13" s="1"/>
  <c r="A61" i="13" s="1"/>
  <c r="A62" i="13" s="1"/>
  <c r="A63" i="13" s="1"/>
  <c r="A52" i="13"/>
  <c r="A53" i="13"/>
  <c r="A54" i="13" s="1"/>
  <c r="A55" i="13" s="1"/>
  <c r="A51" i="13"/>
  <c r="A49" i="8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F80" i="12"/>
  <c r="F81" i="12"/>
  <c r="F82" i="12"/>
  <c r="F83" i="12"/>
  <c r="F84" i="12"/>
  <c r="F85" i="12"/>
  <c r="F86" i="12"/>
  <c r="A79" i="12"/>
  <c r="A80" i="12"/>
  <c r="A81" i="12" s="1"/>
  <c r="A82" i="12" s="1"/>
  <c r="A83" i="12" s="1"/>
  <c r="A84" i="12" s="1"/>
  <c r="A85" i="12" s="1"/>
  <c r="A86" i="12" s="1"/>
  <c r="E80" i="12"/>
  <c r="E81" i="12"/>
  <c r="E82" i="12"/>
  <c r="E83" i="12"/>
  <c r="E84" i="12"/>
  <c r="E85" i="12"/>
  <c r="E86" i="12"/>
  <c r="A55" i="1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E81" i="11"/>
  <c r="E82" i="11"/>
  <c r="E83" i="11"/>
  <c r="E84" i="11"/>
  <c r="E85" i="11"/>
  <c r="E86" i="11"/>
  <c r="E87" i="11"/>
  <c r="E75" i="11"/>
  <c r="E76" i="11"/>
  <c r="E77" i="11"/>
  <c r="E78" i="11"/>
  <c r="E79" i="11"/>
  <c r="E80" i="11"/>
  <c r="E69" i="11"/>
  <c r="E70" i="11"/>
  <c r="E71" i="11"/>
  <c r="E72" i="11"/>
  <c r="E73" i="11"/>
  <c r="E74" i="11"/>
  <c r="F68" i="11"/>
  <c r="G68" i="11" s="1"/>
  <c r="E61" i="11"/>
  <c r="F61" i="11" s="1"/>
  <c r="G61" i="11" s="1"/>
  <c r="E62" i="11"/>
  <c r="F62" i="11" s="1"/>
  <c r="G62" i="11" s="1"/>
  <c r="E63" i="11"/>
  <c r="F63" i="11" s="1"/>
  <c r="G63" i="11" s="1"/>
  <c r="E64" i="11"/>
  <c r="F64" i="11" s="1"/>
  <c r="G64" i="11" s="1"/>
  <c r="E65" i="11"/>
  <c r="F65" i="11" s="1"/>
  <c r="G65" i="11" s="1"/>
  <c r="E66" i="11"/>
  <c r="F66" i="11" s="1"/>
  <c r="G66" i="11" s="1"/>
  <c r="E67" i="11"/>
  <c r="F67" i="11" s="1"/>
  <c r="G67" i="11" s="1"/>
  <c r="E68" i="11"/>
  <c r="A48" i="10"/>
  <c r="A49" i="10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77" i="9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68" i="9"/>
  <c r="A69" i="9"/>
  <c r="A70" i="9" s="1"/>
  <c r="A71" i="9" s="1"/>
  <c r="A72" i="9" s="1"/>
  <c r="A73" i="9" s="1"/>
  <c r="A74" i="9" s="1"/>
  <c r="A75" i="9" s="1"/>
  <c r="A76" i="9" s="1"/>
  <c r="I87" i="9"/>
  <c r="I88" i="9"/>
  <c r="I89" i="9"/>
  <c r="I90" i="9"/>
  <c r="I91" i="9"/>
  <c r="I92" i="9"/>
  <c r="I93" i="9"/>
  <c r="H87" i="9"/>
  <c r="H88" i="9"/>
  <c r="H89" i="9"/>
  <c r="H90" i="9"/>
  <c r="H91" i="9"/>
  <c r="H92" i="9"/>
  <c r="H93" i="9"/>
  <c r="I75" i="9"/>
  <c r="I76" i="9"/>
  <c r="I77" i="9"/>
  <c r="I78" i="9"/>
  <c r="I79" i="9"/>
  <c r="I80" i="9"/>
  <c r="I81" i="9"/>
  <c r="I82" i="9"/>
  <c r="I83" i="9"/>
  <c r="I84" i="9"/>
  <c r="I85" i="9"/>
  <c r="I86" i="9"/>
  <c r="H75" i="9"/>
  <c r="H76" i="9"/>
  <c r="H77" i="9"/>
  <c r="H78" i="9"/>
  <c r="H79" i="9"/>
  <c r="H80" i="9"/>
  <c r="H81" i="9"/>
  <c r="H82" i="9"/>
  <c r="H83" i="9"/>
  <c r="H84" i="9"/>
  <c r="H85" i="9"/>
  <c r="H86" i="9"/>
  <c r="I68" i="9"/>
  <c r="I69" i="9"/>
  <c r="I70" i="9"/>
  <c r="I71" i="9"/>
  <c r="I72" i="9"/>
  <c r="I73" i="9"/>
  <c r="I74" i="9"/>
  <c r="H68" i="9"/>
  <c r="H69" i="9"/>
  <c r="H70" i="9"/>
  <c r="H71" i="9"/>
  <c r="H72" i="9"/>
  <c r="H73" i="9"/>
  <c r="H74" i="9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D87" i="8"/>
  <c r="D88" i="8"/>
  <c r="D89" i="8"/>
  <c r="D90" i="8"/>
  <c r="D79" i="8"/>
  <c r="D80" i="8"/>
  <c r="D81" i="8"/>
  <c r="D82" i="8"/>
  <c r="D83" i="8"/>
  <c r="D84" i="8"/>
  <c r="D85" i="8"/>
  <c r="D86" i="8"/>
  <c r="D73" i="8"/>
  <c r="D74" i="8"/>
  <c r="D75" i="8"/>
  <c r="D76" i="8"/>
  <c r="D77" i="8"/>
  <c r="D78" i="8"/>
  <c r="A64" i="7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J51" i="7"/>
  <c r="J52" i="7"/>
  <c r="J53" i="7"/>
  <c r="J54" i="7"/>
  <c r="J55" i="7"/>
  <c r="J56" i="7"/>
  <c r="J57" i="7"/>
  <c r="J58" i="7"/>
  <c r="J59" i="7"/>
  <c r="J60" i="7"/>
  <c r="F60" i="7" s="1"/>
  <c r="G60" i="7" s="1"/>
  <c r="J61" i="7"/>
  <c r="F61" i="7" s="1"/>
  <c r="G61" i="7" s="1"/>
  <c r="J62" i="7"/>
  <c r="F62" i="7" s="1"/>
  <c r="G62" i="7" s="1"/>
  <c r="J63" i="7"/>
  <c r="F63" i="7" s="1"/>
  <c r="G63" i="7" s="1"/>
  <c r="J64" i="7"/>
  <c r="J65" i="7"/>
  <c r="J66" i="7"/>
  <c r="J67" i="7"/>
  <c r="J68" i="7"/>
  <c r="J69" i="7"/>
  <c r="J70" i="7"/>
  <c r="J71" i="7"/>
  <c r="J72" i="7"/>
  <c r="J73" i="7"/>
  <c r="F73" i="7" s="1"/>
  <c r="G73" i="7" s="1"/>
  <c r="J74" i="7"/>
  <c r="J75" i="7"/>
  <c r="J76" i="7"/>
  <c r="J77" i="7"/>
  <c r="J78" i="7"/>
  <c r="J79" i="7"/>
  <c r="J80" i="7"/>
  <c r="J81" i="7"/>
  <c r="J82" i="7"/>
  <c r="J83" i="7"/>
  <c r="J84" i="7"/>
  <c r="I51" i="7"/>
  <c r="I52" i="7"/>
  <c r="I53" i="7"/>
  <c r="I54" i="7"/>
  <c r="F54" i="7" s="1"/>
  <c r="G54" i="7" s="1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F71" i="7" s="1"/>
  <c r="G71" i="7" s="1"/>
  <c r="I72" i="7"/>
  <c r="F72" i="7" s="1"/>
  <c r="G72" i="7" s="1"/>
  <c r="I73" i="7"/>
  <c r="I74" i="7"/>
  <c r="F74" i="7" s="1"/>
  <c r="G74" i="7" s="1"/>
  <c r="I75" i="7"/>
  <c r="F75" i="7" s="1"/>
  <c r="G75" i="7" s="1"/>
  <c r="I76" i="7"/>
  <c r="I77" i="7"/>
  <c r="I78" i="7"/>
  <c r="I79" i="7"/>
  <c r="I80" i="7"/>
  <c r="I81" i="7"/>
  <c r="I82" i="7"/>
  <c r="I83" i="7"/>
  <c r="F83" i="7" s="1"/>
  <c r="G83" i="7" s="1"/>
  <c r="I84" i="7"/>
  <c r="H50" i="7"/>
  <c r="H51" i="7"/>
  <c r="H52" i="7"/>
  <c r="F52" i="7" s="1"/>
  <c r="G52" i="7" s="1"/>
  <c r="H53" i="7"/>
  <c r="H54" i="7"/>
  <c r="H55" i="7"/>
  <c r="H56" i="7"/>
  <c r="H57" i="7"/>
  <c r="H58" i="7"/>
  <c r="H59" i="7"/>
  <c r="F59" i="7" s="1"/>
  <c r="G59" i="7" s="1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F76" i="7" s="1"/>
  <c r="G76" i="7" s="1"/>
  <c r="H77" i="7"/>
  <c r="H78" i="7"/>
  <c r="F78" i="7" s="1"/>
  <c r="G78" i="7" s="1"/>
  <c r="H79" i="7"/>
  <c r="F79" i="7" s="1"/>
  <c r="G79" i="7" s="1"/>
  <c r="H80" i="7"/>
  <c r="H81" i="7"/>
  <c r="H82" i="7"/>
  <c r="H83" i="7"/>
  <c r="H84" i="7"/>
  <c r="F80" i="7"/>
  <c r="G80" i="7" s="1"/>
  <c r="F81" i="7"/>
  <c r="G81" i="7" s="1"/>
  <c r="F55" i="7"/>
  <c r="G55" i="7" s="1"/>
  <c r="F56" i="7"/>
  <c r="G56" i="7" s="1"/>
  <c r="F57" i="7"/>
  <c r="G57" i="7" s="1"/>
  <c r="F58" i="7"/>
  <c r="G58" i="7" s="1"/>
  <c r="F53" i="7"/>
  <c r="G53" i="7" s="1"/>
  <c r="A61" i="6"/>
  <c r="A62" i="6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K85" i="6"/>
  <c r="K86" i="6"/>
  <c r="K87" i="6"/>
  <c r="J85" i="6"/>
  <c r="J86" i="6"/>
  <c r="J87" i="6"/>
  <c r="I85" i="6"/>
  <c r="I86" i="6"/>
  <c r="I87" i="6"/>
  <c r="H85" i="6"/>
  <c r="H86" i="6"/>
  <c r="H87" i="6"/>
  <c r="G85" i="6"/>
  <c r="G86" i="6"/>
  <c r="G87" i="6"/>
  <c r="I82" i="6"/>
  <c r="J82" i="6" s="1"/>
  <c r="K82" i="6" s="1"/>
  <c r="I83" i="6"/>
  <c r="J83" i="6" s="1"/>
  <c r="K83" i="6" s="1"/>
  <c r="I84" i="6"/>
  <c r="J84" i="6" s="1"/>
  <c r="K84" i="6" s="1"/>
  <c r="H80" i="6"/>
  <c r="I80" i="6" s="1"/>
  <c r="J80" i="6" s="1"/>
  <c r="K80" i="6" s="1"/>
  <c r="H81" i="6"/>
  <c r="I81" i="6" s="1"/>
  <c r="J81" i="6" s="1"/>
  <c r="K81" i="6" s="1"/>
  <c r="H82" i="6"/>
  <c r="H83" i="6"/>
  <c r="H84" i="6"/>
  <c r="G80" i="6"/>
  <c r="G81" i="6"/>
  <c r="G82" i="6"/>
  <c r="G83" i="6"/>
  <c r="G84" i="6"/>
  <c r="A80" i="5"/>
  <c r="A81" i="5"/>
  <c r="A82" i="5"/>
  <c r="A83" i="5"/>
  <c r="A84" i="5"/>
  <c r="A85" i="5" s="1"/>
  <c r="A75" i="5"/>
  <c r="A76" i="5" s="1"/>
  <c r="A77" i="5" s="1"/>
  <c r="A78" i="5" s="1"/>
  <c r="A79" i="5" s="1"/>
  <c r="A69" i="5"/>
  <c r="A70" i="5" s="1"/>
  <c r="A71" i="5" s="1"/>
  <c r="A72" i="5" s="1"/>
  <c r="A73" i="5" s="1"/>
  <c r="A74" i="5" s="1"/>
  <c r="A62" i="5"/>
  <c r="A63" i="5"/>
  <c r="A64" i="5" s="1"/>
  <c r="A65" i="5" s="1"/>
  <c r="A66" i="5" s="1"/>
  <c r="A67" i="5" s="1"/>
  <c r="A68" i="5" s="1"/>
  <c r="A58" i="5"/>
  <c r="A59" i="5"/>
  <c r="A60" i="5"/>
  <c r="A61" i="5"/>
  <c r="H80" i="5"/>
  <c r="H81" i="5"/>
  <c r="H82" i="5"/>
  <c r="H83" i="5"/>
  <c r="H84" i="5"/>
  <c r="H85" i="5"/>
  <c r="G80" i="5"/>
  <c r="G81" i="5"/>
  <c r="G82" i="5"/>
  <c r="G83" i="5"/>
  <c r="G84" i="5"/>
  <c r="G85" i="5"/>
  <c r="F80" i="5"/>
  <c r="F81" i="5"/>
  <c r="F82" i="5"/>
  <c r="F83" i="5"/>
  <c r="F84" i="5"/>
  <c r="F85" i="5"/>
  <c r="H74" i="5"/>
  <c r="H75" i="5"/>
  <c r="H76" i="5"/>
  <c r="H77" i="5"/>
  <c r="H78" i="5"/>
  <c r="H79" i="5"/>
  <c r="G76" i="5"/>
  <c r="G77" i="5"/>
  <c r="G78" i="5"/>
  <c r="G79" i="5"/>
  <c r="F74" i="5"/>
  <c r="G74" i="5" s="1"/>
  <c r="F75" i="5"/>
  <c r="G75" i="5" s="1"/>
  <c r="F76" i="5"/>
  <c r="F77" i="5"/>
  <c r="F78" i="5"/>
  <c r="F79" i="5"/>
  <c r="H69" i="5"/>
  <c r="H70" i="5"/>
  <c r="H71" i="5"/>
  <c r="H72" i="5"/>
  <c r="H73" i="5"/>
  <c r="F69" i="5"/>
  <c r="G69" i="5" s="1"/>
  <c r="F70" i="5"/>
  <c r="G70" i="5" s="1"/>
  <c r="F71" i="5"/>
  <c r="G71" i="5" s="1"/>
  <c r="F72" i="5"/>
  <c r="G72" i="5" s="1"/>
  <c r="F73" i="5"/>
  <c r="G73" i="5" s="1"/>
  <c r="H61" i="5"/>
  <c r="H62" i="5"/>
  <c r="H63" i="5"/>
  <c r="H64" i="5"/>
  <c r="H65" i="5"/>
  <c r="H66" i="5"/>
  <c r="H67" i="5"/>
  <c r="H68" i="5"/>
  <c r="H58" i="5"/>
  <c r="H59" i="5"/>
  <c r="H60" i="5"/>
  <c r="G67" i="5"/>
  <c r="G59" i="5"/>
  <c r="G60" i="5"/>
  <c r="G61" i="5"/>
  <c r="F64" i="5"/>
  <c r="G64" i="5" s="1"/>
  <c r="F65" i="5"/>
  <c r="G65" i="5" s="1"/>
  <c r="F66" i="5"/>
  <c r="G66" i="5" s="1"/>
  <c r="F67" i="5"/>
  <c r="F68" i="5"/>
  <c r="G68" i="5" s="1"/>
  <c r="F59" i="5"/>
  <c r="F60" i="5"/>
  <c r="F61" i="5"/>
  <c r="F62" i="5"/>
  <c r="G62" i="5" s="1"/>
  <c r="F63" i="5"/>
  <c r="G63" i="5" s="1"/>
  <c r="F58" i="5"/>
  <c r="G58" i="5" s="1"/>
  <c r="A50" i="3"/>
  <c r="A51" i="3"/>
  <c r="A46" i="3"/>
  <c r="A47" i="3"/>
  <c r="A48" i="3"/>
  <c r="A49" i="3"/>
  <c r="J47" i="7"/>
  <c r="J48" i="7"/>
  <c r="J49" i="7"/>
  <c r="J50" i="7"/>
  <c r="I47" i="7"/>
  <c r="I48" i="7"/>
  <c r="I49" i="7"/>
  <c r="I50" i="7"/>
  <c r="H44" i="7"/>
  <c r="H45" i="7"/>
  <c r="H46" i="7"/>
  <c r="H47" i="7"/>
  <c r="H48" i="7"/>
  <c r="H49" i="7"/>
  <c r="A46" i="10"/>
  <c r="A47" i="10"/>
  <c r="K48" i="13"/>
  <c r="I48" i="13"/>
  <c r="H48" i="13"/>
  <c r="B48" i="13"/>
  <c r="B49" i="13"/>
  <c r="H55" i="5"/>
  <c r="H56" i="5"/>
  <c r="H57" i="5"/>
  <c r="F55" i="5"/>
  <c r="G55" i="5" s="1"/>
  <c r="F56" i="5"/>
  <c r="G56" i="5" s="1"/>
  <c r="F57" i="5"/>
  <c r="G57" i="5" s="1"/>
  <c r="H52" i="5"/>
  <c r="H53" i="5"/>
  <c r="H54" i="5"/>
  <c r="F52" i="5"/>
  <c r="G52" i="5" s="1"/>
  <c r="F53" i="5"/>
  <c r="G53" i="5" s="1"/>
  <c r="F54" i="5"/>
  <c r="G54" i="5" s="1"/>
  <c r="H49" i="5"/>
  <c r="H51" i="5"/>
  <c r="F49" i="5"/>
  <c r="G49" i="5" s="1"/>
  <c r="C52" i="13" s="1"/>
  <c r="F50" i="5"/>
  <c r="G50" i="5" s="1"/>
  <c r="O50" i="3" s="1"/>
  <c r="F51" i="5"/>
  <c r="G51" i="5" s="1"/>
  <c r="H48" i="5"/>
  <c r="F46" i="5"/>
  <c r="G46" i="5" s="1"/>
  <c r="H46" i="5" s="1"/>
  <c r="F47" i="5"/>
  <c r="G47" i="5" s="1"/>
  <c r="H47" i="5" s="1"/>
  <c r="F48" i="5"/>
  <c r="G48" i="5" s="1"/>
  <c r="A44" i="10"/>
  <c r="A45" i="10"/>
  <c r="H45" i="5"/>
  <c r="F45" i="5"/>
  <c r="G45" i="5" s="1"/>
  <c r="F44" i="5"/>
  <c r="G44" i="5" s="1"/>
  <c r="H44" i="5" s="1"/>
  <c r="F43" i="5"/>
  <c r="G43" i="5" s="1"/>
  <c r="C46" i="13" s="1"/>
  <c r="F42" i="5"/>
  <c r="G42" i="5" s="1"/>
  <c r="C45" i="13" s="1"/>
  <c r="H2" i="4" a="1"/>
  <c r="H2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 s="1"/>
  <c r="H44" i="4" a="1"/>
  <c r="H44" i="4" s="1"/>
  <c r="H45" i="4" a="1"/>
  <c r="H45" i="4" s="1"/>
  <c r="H46" i="4" a="1"/>
  <c r="H46" i="4" s="1"/>
  <c r="H47" i="4" a="1"/>
  <c r="H47" i="4" s="1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B44" i="13"/>
  <c r="B45" i="13"/>
  <c r="B46" i="13"/>
  <c r="B47" i="13"/>
  <c r="B42" i="13"/>
  <c r="B43" i="13"/>
  <c r="E35" i="8"/>
  <c r="K44" i="13"/>
  <c r="I41" i="13"/>
  <c r="H41" i="13"/>
  <c r="H42" i="13"/>
  <c r="I40" i="13"/>
  <c r="H40" i="13"/>
  <c r="F75" i="12"/>
  <c r="F76" i="12"/>
  <c r="F63" i="12"/>
  <c r="F64" i="12"/>
  <c r="F65" i="12"/>
  <c r="F66" i="12"/>
  <c r="F67" i="12"/>
  <c r="F57" i="12"/>
  <c r="F58" i="12"/>
  <c r="F59" i="12"/>
  <c r="F60" i="12"/>
  <c r="F61" i="12"/>
  <c r="F47" i="12"/>
  <c r="E79" i="12"/>
  <c r="F79" i="12" s="1"/>
  <c r="E78" i="12"/>
  <c r="F78" i="12" s="1"/>
  <c r="E76" i="12"/>
  <c r="E77" i="12"/>
  <c r="F77" i="12" s="1"/>
  <c r="E75" i="12"/>
  <c r="E72" i="12"/>
  <c r="F72" i="12" s="1"/>
  <c r="E73" i="12"/>
  <c r="F73" i="12" s="1"/>
  <c r="E74" i="12"/>
  <c r="F74" i="12" s="1"/>
  <c r="E69" i="12"/>
  <c r="F69" i="12" s="1"/>
  <c r="E70" i="12"/>
  <c r="F70" i="12" s="1"/>
  <c r="E71" i="12"/>
  <c r="F71" i="12" s="1"/>
  <c r="E65" i="12"/>
  <c r="E66" i="12"/>
  <c r="E67" i="12"/>
  <c r="E68" i="12"/>
  <c r="F68" i="12" s="1"/>
  <c r="E60" i="12"/>
  <c r="E61" i="12"/>
  <c r="E62" i="12"/>
  <c r="F62" i="12" s="1"/>
  <c r="E63" i="12"/>
  <c r="E64" i="12"/>
  <c r="E56" i="12"/>
  <c r="F56" i="12" s="1"/>
  <c r="E57" i="12"/>
  <c r="E58" i="12"/>
  <c r="E59" i="12"/>
  <c r="E51" i="12"/>
  <c r="F51" i="12" s="1"/>
  <c r="E52" i="12"/>
  <c r="F52" i="12" s="1"/>
  <c r="E53" i="12"/>
  <c r="F53" i="12" s="1"/>
  <c r="E54" i="12"/>
  <c r="F54" i="12" s="1"/>
  <c r="E55" i="12"/>
  <c r="F55" i="12" s="1"/>
  <c r="E48" i="12"/>
  <c r="F48" i="12" s="1"/>
  <c r="E49" i="12"/>
  <c r="F49" i="12" s="1"/>
  <c r="E50" i="12"/>
  <c r="F50" i="12" s="1"/>
  <c r="E43" i="12"/>
  <c r="K46" i="13" s="1"/>
  <c r="E44" i="12"/>
  <c r="F44" i="12" s="1"/>
  <c r="E45" i="12"/>
  <c r="F45" i="12" s="1"/>
  <c r="E46" i="12"/>
  <c r="F46" i="12" s="1"/>
  <c r="E47" i="12"/>
  <c r="E41" i="12"/>
  <c r="F41" i="12" s="1"/>
  <c r="E42" i="12"/>
  <c r="F42" i="12" s="1"/>
  <c r="E58" i="11"/>
  <c r="F58" i="11" s="1"/>
  <c r="G58" i="11" s="1"/>
  <c r="E59" i="11"/>
  <c r="F59" i="11" s="1"/>
  <c r="G59" i="11" s="1"/>
  <c r="E60" i="11"/>
  <c r="F60" i="11" s="1"/>
  <c r="G60" i="11" s="1"/>
  <c r="E55" i="11"/>
  <c r="F55" i="11" s="1"/>
  <c r="G55" i="11" s="1"/>
  <c r="E56" i="11"/>
  <c r="F56" i="11" s="1"/>
  <c r="G56" i="11" s="1"/>
  <c r="E57" i="11"/>
  <c r="F57" i="11" s="1"/>
  <c r="G57" i="11" s="1"/>
  <c r="E52" i="11"/>
  <c r="F52" i="11" s="1"/>
  <c r="G52" i="11" s="1"/>
  <c r="E53" i="11"/>
  <c r="F53" i="11" s="1"/>
  <c r="G53" i="11" s="1"/>
  <c r="E54" i="11"/>
  <c r="F54" i="11" s="1"/>
  <c r="G54" i="11" s="1"/>
  <c r="E50" i="11"/>
  <c r="F50" i="11" s="1"/>
  <c r="G50" i="11" s="1"/>
  <c r="E51" i="11"/>
  <c r="F51" i="11" s="1"/>
  <c r="G51" i="11" s="1"/>
  <c r="E46" i="11"/>
  <c r="F46" i="11" s="1"/>
  <c r="G46" i="11" s="1"/>
  <c r="E47" i="11"/>
  <c r="F47" i="11" s="1"/>
  <c r="G47" i="11" s="1"/>
  <c r="E48" i="11"/>
  <c r="F48" i="11" s="1"/>
  <c r="G48" i="11" s="1"/>
  <c r="E49" i="11"/>
  <c r="F49" i="11" s="1"/>
  <c r="G49" i="11" s="1"/>
  <c r="E42" i="11"/>
  <c r="F42" i="11" s="1"/>
  <c r="G42" i="11" s="1"/>
  <c r="E44" i="11"/>
  <c r="F44" i="11" s="1"/>
  <c r="G44" i="11" s="1"/>
  <c r="E45" i="11"/>
  <c r="F45" i="11" s="1"/>
  <c r="G45" i="11" s="1"/>
  <c r="E41" i="11"/>
  <c r="F41" i="11" s="1"/>
  <c r="G41" i="11" s="1"/>
  <c r="E40" i="11"/>
  <c r="F40" i="11" s="1"/>
  <c r="G40" i="11" s="1"/>
  <c r="E39" i="11"/>
  <c r="F39" i="11" s="1"/>
  <c r="G39" i="11" s="1"/>
  <c r="G72" i="10"/>
  <c r="G73" i="10"/>
  <c r="G74" i="10"/>
  <c r="G75" i="10"/>
  <c r="G76" i="10"/>
  <c r="G77" i="10"/>
  <c r="G78" i="10"/>
  <c r="G79" i="10"/>
  <c r="G80" i="10"/>
  <c r="H80" i="10" s="1"/>
  <c r="G81" i="10"/>
  <c r="H81" i="10" s="1"/>
  <c r="G82" i="10"/>
  <c r="H82" i="10" s="1"/>
  <c r="G83" i="10"/>
  <c r="H83" i="10" s="1"/>
  <c r="G84" i="10"/>
  <c r="G85" i="10"/>
  <c r="G86" i="10"/>
  <c r="G87" i="10"/>
  <c r="H87" i="10" s="1"/>
  <c r="G88" i="10"/>
  <c r="G89" i="10"/>
  <c r="H70" i="10"/>
  <c r="H71" i="10"/>
  <c r="H72" i="10"/>
  <c r="H73" i="10"/>
  <c r="H74" i="10"/>
  <c r="H75" i="10"/>
  <c r="H76" i="10"/>
  <c r="H77" i="10"/>
  <c r="H78" i="10"/>
  <c r="H79" i="10"/>
  <c r="H84" i="10"/>
  <c r="H85" i="10"/>
  <c r="H86" i="10"/>
  <c r="H88" i="10"/>
  <c r="H89" i="10"/>
  <c r="G68" i="10"/>
  <c r="G69" i="10"/>
  <c r="G70" i="10"/>
  <c r="G71" i="10"/>
  <c r="H42" i="10"/>
  <c r="H46" i="10"/>
  <c r="H48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G61" i="10"/>
  <c r="G62" i="10"/>
  <c r="G63" i="10"/>
  <c r="G64" i="10"/>
  <c r="G65" i="10"/>
  <c r="G66" i="10"/>
  <c r="G67" i="10"/>
  <c r="G46" i="10"/>
  <c r="G48" i="10"/>
  <c r="G51" i="10"/>
  <c r="I54" i="13" s="1"/>
  <c r="G52" i="10"/>
  <c r="G53" i="10"/>
  <c r="G54" i="10"/>
  <c r="G55" i="10"/>
  <c r="G56" i="10"/>
  <c r="G57" i="10"/>
  <c r="G58" i="10"/>
  <c r="G59" i="10"/>
  <c r="G60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54" i="10"/>
  <c r="F55" i="10"/>
  <c r="F56" i="10"/>
  <c r="F57" i="10"/>
  <c r="F49" i="10"/>
  <c r="G49" i="10" s="1"/>
  <c r="F50" i="10"/>
  <c r="G50" i="10" s="1"/>
  <c r="I53" i="13" s="1"/>
  <c r="F51" i="10"/>
  <c r="F52" i="10"/>
  <c r="F53" i="10"/>
  <c r="F43" i="10"/>
  <c r="G43" i="10" s="1"/>
  <c r="H43" i="10" s="1"/>
  <c r="F44" i="10"/>
  <c r="G44" i="10" s="1"/>
  <c r="F45" i="10"/>
  <c r="G45" i="10" s="1"/>
  <c r="H45" i="10" s="1"/>
  <c r="F46" i="10"/>
  <c r="F47" i="10"/>
  <c r="G47" i="10" s="1"/>
  <c r="H47" i="10" s="1"/>
  <c r="F48" i="10"/>
  <c r="F40" i="10"/>
  <c r="G40" i="10" s="1"/>
  <c r="H40" i="10" s="1"/>
  <c r="F41" i="10"/>
  <c r="F42" i="10"/>
  <c r="F37" i="10"/>
  <c r="G37" i="10" s="1"/>
  <c r="H37" i="10" s="1"/>
  <c r="F38" i="10"/>
  <c r="F39" i="10"/>
  <c r="G39" i="10" s="1"/>
  <c r="H39" i="10" s="1"/>
  <c r="F29" i="10"/>
  <c r="F30" i="10"/>
  <c r="F31" i="10"/>
  <c r="A60" i="9"/>
  <c r="A61" i="9"/>
  <c r="A62" i="9" s="1"/>
  <c r="A63" i="9" s="1"/>
  <c r="A64" i="9" s="1"/>
  <c r="A65" i="9" s="1"/>
  <c r="A66" i="9" s="1"/>
  <c r="A67" i="9" s="1"/>
  <c r="A37" i="9"/>
  <c r="A38" i="9"/>
  <c r="A39" i="9" s="1"/>
  <c r="I62" i="9"/>
  <c r="I63" i="9"/>
  <c r="I64" i="9"/>
  <c r="I65" i="9"/>
  <c r="I66" i="9"/>
  <c r="I67" i="9"/>
  <c r="I54" i="9"/>
  <c r="I55" i="9"/>
  <c r="I56" i="9"/>
  <c r="I57" i="9"/>
  <c r="I58" i="9"/>
  <c r="I59" i="9"/>
  <c r="I60" i="9"/>
  <c r="I61" i="9"/>
  <c r="I47" i="9"/>
  <c r="I49" i="9"/>
  <c r="I50" i="9"/>
  <c r="I51" i="9"/>
  <c r="I52" i="9"/>
  <c r="I53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46" i="9"/>
  <c r="I46" i="9" s="1"/>
  <c r="H47" i="9"/>
  <c r="H48" i="9"/>
  <c r="AG48" i="3" s="1"/>
  <c r="H49" i="9"/>
  <c r="AG49" i="3" s="1"/>
  <c r="H50" i="9"/>
  <c r="H53" i="13" s="1"/>
  <c r="H51" i="9"/>
  <c r="H52" i="9"/>
  <c r="E48" i="8"/>
  <c r="D69" i="8"/>
  <c r="E69" i="8" s="1"/>
  <c r="D70" i="8"/>
  <c r="E70" i="8" s="1"/>
  <c r="D71" i="8"/>
  <c r="E71" i="8" s="1"/>
  <c r="D72" i="8"/>
  <c r="E72" i="8" s="1"/>
  <c r="D66" i="8"/>
  <c r="E66" i="8" s="1"/>
  <c r="D67" i="8"/>
  <c r="E67" i="8" s="1"/>
  <c r="D68" i="8"/>
  <c r="E68" i="8" s="1"/>
  <c r="D63" i="8"/>
  <c r="E63" i="8" s="1"/>
  <c r="D64" i="8"/>
  <c r="E64" i="8" s="1"/>
  <c r="D65" i="8"/>
  <c r="E65" i="8" s="1"/>
  <c r="D59" i="8"/>
  <c r="E59" i="8" s="1"/>
  <c r="D60" i="8"/>
  <c r="E60" i="8" s="1"/>
  <c r="D61" i="8"/>
  <c r="E61" i="8" s="1"/>
  <c r="D62" i="8"/>
  <c r="E62" i="8" s="1"/>
  <c r="D50" i="8"/>
  <c r="E50" i="8" s="1"/>
  <c r="D51" i="8"/>
  <c r="E51" i="8" s="1"/>
  <c r="D52" i="8"/>
  <c r="E52" i="8" s="1"/>
  <c r="D53" i="8"/>
  <c r="E53" i="8" s="1"/>
  <c r="D54" i="8"/>
  <c r="E54" i="8" s="1"/>
  <c r="D55" i="8"/>
  <c r="E55" i="8" s="1"/>
  <c r="D56" i="8"/>
  <c r="E56" i="8" s="1"/>
  <c r="D57" i="8"/>
  <c r="E57" i="8" s="1"/>
  <c r="D58" i="8"/>
  <c r="E58" i="8" s="1"/>
  <c r="D47" i="8"/>
  <c r="E47" i="8" s="1"/>
  <c r="D48" i="8"/>
  <c r="D49" i="8"/>
  <c r="E49" i="8" s="1"/>
  <c r="D43" i="8"/>
  <c r="F46" i="13" s="1"/>
  <c r="D44" i="8"/>
  <c r="E44" i="8" s="1"/>
  <c r="D45" i="8"/>
  <c r="E45" i="8" s="1"/>
  <c r="D46" i="8"/>
  <c r="E46" i="8" s="1"/>
  <c r="D42" i="8"/>
  <c r="F45" i="13" s="1"/>
  <c r="G79" i="6"/>
  <c r="I79" i="6" s="1"/>
  <c r="J79" i="6" s="1"/>
  <c r="K79" i="6" s="1"/>
  <c r="G73" i="6"/>
  <c r="G74" i="6"/>
  <c r="G75" i="6"/>
  <c r="G76" i="6"/>
  <c r="G77" i="6"/>
  <c r="G78" i="6"/>
  <c r="I78" i="6" s="1"/>
  <c r="J78" i="6" s="1"/>
  <c r="K78" i="6" s="1"/>
  <c r="G67" i="6"/>
  <c r="I67" i="6" s="1"/>
  <c r="J67" i="6" s="1"/>
  <c r="K67" i="6" s="1"/>
  <c r="G68" i="6"/>
  <c r="I68" i="6" s="1"/>
  <c r="J68" i="6" s="1"/>
  <c r="K68" i="6" s="1"/>
  <c r="G69" i="6"/>
  <c r="I69" i="6" s="1"/>
  <c r="J69" i="6" s="1"/>
  <c r="K69" i="6" s="1"/>
  <c r="G70" i="6"/>
  <c r="G71" i="6"/>
  <c r="G72" i="6"/>
  <c r="I41" i="6"/>
  <c r="J41" i="6" s="1"/>
  <c r="G65" i="6"/>
  <c r="I65" i="6" s="1"/>
  <c r="J65" i="6" s="1"/>
  <c r="K65" i="6" s="1"/>
  <c r="G66" i="6"/>
  <c r="I66" i="6" s="1"/>
  <c r="J66" i="6" s="1"/>
  <c r="K66" i="6" s="1"/>
  <c r="G63" i="6"/>
  <c r="I63" i="6" s="1"/>
  <c r="J63" i="6" s="1"/>
  <c r="K63" i="6" s="1"/>
  <c r="G64" i="6"/>
  <c r="I64" i="6" s="1"/>
  <c r="J64" i="6" s="1"/>
  <c r="K64" i="6" s="1"/>
  <c r="G62" i="6"/>
  <c r="I62" i="6" s="1"/>
  <c r="J62" i="6" s="1"/>
  <c r="K62" i="6" s="1"/>
  <c r="G61" i="6"/>
  <c r="I61" i="6" s="1"/>
  <c r="J61" i="6" s="1"/>
  <c r="K61" i="6" s="1"/>
  <c r="G60" i="6"/>
  <c r="G59" i="6"/>
  <c r="G58" i="6"/>
  <c r="I58" i="6" s="1"/>
  <c r="J58" i="6" s="1"/>
  <c r="K58" i="6" s="1"/>
  <c r="G57" i="6"/>
  <c r="G56" i="6"/>
  <c r="G55" i="6"/>
  <c r="G54" i="6"/>
  <c r="G53" i="6"/>
  <c r="G52" i="6"/>
  <c r="G51" i="6"/>
  <c r="S51" i="3" s="1"/>
  <c r="G50" i="6"/>
  <c r="S50" i="3" s="1"/>
  <c r="S49" i="3"/>
  <c r="G48" i="6"/>
  <c r="I48" i="6" s="1"/>
  <c r="J48" i="6" s="1"/>
  <c r="K48" i="6" s="1"/>
  <c r="G47" i="6"/>
  <c r="I47" i="6" s="1"/>
  <c r="J47" i="6" s="1"/>
  <c r="K47" i="6" s="1"/>
  <c r="G46" i="6"/>
  <c r="G45" i="6"/>
  <c r="G44" i="6"/>
  <c r="G43" i="6"/>
  <c r="I43" i="6" s="1"/>
  <c r="J43" i="6" s="1"/>
  <c r="G42" i="6"/>
  <c r="I42" i="6" s="1"/>
  <c r="J42" i="6" s="1"/>
  <c r="H37" i="6"/>
  <c r="I37" i="6" s="1"/>
  <c r="J37" i="6" s="1"/>
  <c r="H38" i="6"/>
  <c r="H39" i="6"/>
  <c r="H40" i="6"/>
  <c r="H41" i="6"/>
  <c r="H42" i="6"/>
  <c r="H43" i="6"/>
  <c r="H44" i="6"/>
  <c r="H45" i="6"/>
  <c r="H46" i="6"/>
  <c r="H47" i="6"/>
  <c r="H48" i="6"/>
  <c r="H49" i="6"/>
  <c r="T49" i="3" s="1"/>
  <c r="H50" i="6"/>
  <c r="H51" i="6"/>
  <c r="H52" i="6"/>
  <c r="H53" i="6"/>
  <c r="H54" i="6"/>
  <c r="I54" i="6" s="1"/>
  <c r="J54" i="6" s="1"/>
  <c r="K54" i="6" s="1"/>
  <c r="H55" i="6"/>
  <c r="I55" i="6" s="1"/>
  <c r="J55" i="6" s="1"/>
  <c r="K55" i="6" s="1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I70" i="6" s="1"/>
  <c r="J70" i="6" s="1"/>
  <c r="K70" i="6" s="1"/>
  <c r="H71" i="6"/>
  <c r="H72" i="6"/>
  <c r="H73" i="6"/>
  <c r="H74" i="6"/>
  <c r="H75" i="6"/>
  <c r="H76" i="6"/>
  <c r="H77" i="6"/>
  <c r="H78" i="6"/>
  <c r="H79" i="6"/>
  <c r="G37" i="6"/>
  <c r="G38" i="6"/>
  <c r="G39" i="6"/>
  <c r="G40" i="6"/>
  <c r="G41" i="6"/>
  <c r="H37" i="5"/>
  <c r="H38" i="5"/>
  <c r="H39" i="5"/>
  <c r="H40" i="5"/>
  <c r="H41" i="5"/>
  <c r="H42" i="5"/>
  <c r="F37" i="5"/>
  <c r="G37" i="5" s="1"/>
  <c r="C40" i="13" s="1"/>
  <c r="F38" i="5"/>
  <c r="G38" i="5" s="1"/>
  <c r="C41" i="13" s="1"/>
  <c r="F39" i="5"/>
  <c r="G39" i="5" s="1"/>
  <c r="C42" i="13" s="1"/>
  <c r="F40" i="5"/>
  <c r="G40" i="5" s="1"/>
  <c r="C43" i="13" s="1"/>
  <c r="F41" i="5"/>
  <c r="G41" i="5" s="1"/>
  <c r="C44" i="13" s="1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5" i="13"/>
  <c r="I36" i="13"/>
  <c r="I37" i="13"/>
  <c r="I38" i="13"/>
  <c r="I3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B37" i="13"/>
  <c r="B38" i="13"/>
  <c r="B39" i="13"/>
  <c r="B40" i="13"/>
  <c r="B41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10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E7" i="11"/>
  <c r="F7" i="11" s="1"/>
  <c r="J10" i="13" s="1"/>
  <c r="E8" i="11"/>
  <c r="F8" i="11" s="1"/>
  <c r="J11" i="13" s="1"/>
  <c r="E9" i="11"/>
  <c r="F9" i="11" s="1"/>
  <c r="G9" i="11" s="1"/>
  <c r="E10" i="11"/>
  <c r="F10" i="11" s="1"/>
  <c r="G10" i="11" s="1"/>
  <c r="E11" i="11"/>
  <c r="F11" i="11" s="1"/>
  <c r="G11" i="11" s="1"/>
  <c r="E12" i="11"/>
  <c r="F12" i="11" s="1"/>
  <c r="G12" i="11" s="1"/>
  <c r="E13" i="11"/>
  <c r="F13" i="11" s="1"/>
  <c r="E14" i="11"/>
  <c r="F14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22" i="11"/>
  <c r="F22" i="11" s="1"/>
  <c r="E23" i="11"/>
  <c r="F23" i="11" s="1"/>
  <c r="E24" i="11"/>
  <c r="F24" i="11" s="1"/>
  <c r="G24" i="11" s="1"/>
  <c r="E25" i="11"/>
  <c r="F25" i="11" s="1"/>
  <c r="J28" i="13" s="1"/>
  <c r="E26" i="11"/>
  <c r="F26" i="11" s="1"/>
  <c r="G26" i="11" s="1"/>
  <c r="E27" i="11"/>
  <c r="F27" i="11" s="1"/>
  <c r="G27" i="11" s="1"/>
  <c r="E28" i="11"/>
  <c r="F28" i="11" s="1"/>
  <c r="G28" i="11" s="1"/>
  <c r="E29" i="11"/>
  <c r="F29" i="11" s="1"/>
  <c r="J32" i="13" s="1"/>
  <c r="E30" i="11"/>
  <c r="F30" i="11" s="1"/>
  <c r="J33" i="13" s="1"/>
  <c r="E31" i="11"/>
  <c r="F31" i="11" s="1"/>
  <c r="J34" i="13" s="1"/>
  <c r="E32" i="11"/>
  <c r="F32" i="11" s="1"/>
  <c r="J35" i="13" s="1"/>
  <c r="E33" i="11"/>
  <c r="F33" i="11" s="1"/>
  <c r="J36" i="13" s="1"/>
  <c r="E34" i="11"/>
  <c r="F34" i="11" s="1"/>
  <c r="J37" i="13" s="1"/>
  <c r="E35" i="11"/>
  <c r="F35" i="11" s="1"/>
  <c r="G35" i="11" s="1"/>
  <c r="E36" i="11"/>
  <c r="F36" i="11" s="1"/>
  <c r="G36" i="11" s="1"/>
  <c r="E37" i="11"/>
  <c r="F37" i="11" s="1"/>
  <c r="J40" i="13" s="1"/>
  <c r="E38" i="11"/>
  <c r="F38" i="11" s="1"/>
  <c r="G38" i="11" s="1"/>
  <c r="A37" i="10"/>
  <c r="A38" i="10"/>
  <c r="A36" i="10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7" i="9"/>
  <c r="I38" i="9"/>
  <c r="I39" i="9"/>
  <c r="I41" i="9"/>
  <c r="I44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3" i="13" s="1"/>
  <c r="H41" i="9"/>
  <c r="H44" i="13" s="1"/>
  <c r="H42" i="9"/>
  <c r="H45" i="13" s="1"/>
  <c r="H43" i="9"/>
  <c r="I43" i="9" s="1"/>
  <c r="H44" i="9"/>
  <c r="H47" i="13" s="1"/>
  <c r="H45" i="9"/>
  <c r="I45" i="9" s="1"/>
  <c r="A36" i="9"/>
  <c r="D34" i="8"/>
  <c r="E34" i="8" s="1"/>
  <c r="D35" i="8"/>
  <c r="D36" i="8"/>
  <c r="E36" i="8" s="1"/>
  <c r="D37" i="8"/>
  <c r="E37" i="8" s="1"/>
  <c r="D38" i="8"/>
  <c r="E38" i="8" s="1"/>
  <c r="D39" i="8"/>
  <c r="F42" i="13" s="1"/>
  <c r="D40" i="8"/>
  <c r="E40" i="8" s="1"/>
  <c r="D41" i="8"/>
  <c r="E41" i="8" s="1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11" i="7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I28" i="6" s="1"/>
  <c r="J28" i="6" s="1"/>
  <c r="K28" i="6" s="1"/>
  <c r="G29" i="6"/>
  <c r="G30" i="6"/>
  <c r="G31" i="6"/>
  <c r="G32" i="6"/>
  <c r="G33" i="6"/>
  <c r="G34" i="6"/>
  <c r="G35" i="6"/>
  <c r="G36" i="6"/>
  <c r="H32" i="5"/>
  <c r="H33" i="5"/>
  <c r="H34" i="5"/>
  <c r="H35" i="5"/>
  <c r="H36" i="5"/>
  <c r="H24" i="5"/>
  <c r="H26" i="5"/>
  <c r="H27" i="5"/>
  <c r="H29" i="5"/>
  <c r="H31" i="5"/>
  <c r="F33" i="5"/>
  <c r="G33" i="5" s="1"/>
  <c r="C36" i="13" s="1"/>
  <c r="F34" i="5"/>
  <c r="G34" i="5" s="1"/>
  <c r="C37" i="13" s="1"/>
  <c r="F35" i="5"/>
  <c r="G35" i="5" s="1"/>
  <c r="C38" i="13" s="1"/>
  <c r="F36" i="5"/>
  <c r="G36" i="5" s="1"/>
  <c r="C39" i="13" s="1"/>
  <c r="F24" i="5"/>
  <c r="G24" i="5" s="1"/>
  <c r="C27" i="13" s="1"/>
  <c r="F25" i="5"/>
  <c r="G25" i="5" s="1"/>
  <c r="F26" i="5"/>
  <c r="G26" i="5" s="1"/>
  <c r="C29" i="13" s="1"/>
  <c r="F27" i="5"/>
  <c r="G27" i="5" s="1"/>
  <c r="C30" i="13" s="1"/>
  <c r="F28" i="5"/>
  <c r="G28" i="5" s="1"/>
  <c r="C31" i="13" s="1"/>
  <c r="F29" i="5"/>
  <c r="G29" i="5" s="1"/>
  <c r="C32" i="13" s="1"/>
  <c r="F30" i="5"/>
  <c r="G30" i="5" s="1"/>
  <c r="H30" i="5" s="1"/>
  <c r="F31" i="5"/>
  <c r="G31" i="5" s="1"/>
  <c r="C34" i="13" s="1"/>
  <c r="F32" i="5"/>
  <c r="G32" i="5" s="1"/>
  <c r="C35" i="13" s="1"/>
  <c r="AG2" i="3"/>
  <c r="AQ2" i="3"/>
  <c r="AM2" i="3"/>
  <c r="AL2" i="3"/>
  <c r="AK2" i="3"/>
  <c r="AJ2" i="3"/>
  <c r="AI2" i="3"/>
  <c r="AH2" i="3"/>
  <c r="AH3" i="3"/>
  <c r="AF2" i="3"/>
  <c r="AC3" i="3"/>
  <c r="AB2" i="3"/>
  <c r="Z2" i="3"/>
  <c r="X2" i="3"/>
  <c r="W2" i="3"/>
  <c r="R2" i="3"/>
  <c r="P2" i="3"/>
  <c r="H3" i="6"/>
  <c r="H4" i="6"/>
  <c r="H5" i="6"/>
  <c r="H6" i="6"/>
  <c r="H7" i="6"/>
  <c r="H8" i="6"/>
  <c r="H9" i="6"/>
  <c r="H10" i="6"/>
  <c r="H11" i="6"/>
  <c r="H12" i="6"/>
  <c r="H2" i="6"/>
  <c r="T2" i="3" s="1"/>
  <c r="D13" i="8"/>
  <c r="E13" i="8" s="1"/>
  <c r="D14" i="8"/>
  <c r="E14" i="8" s="1"/>
  <c r="D12" i="8"/>
  <c r="E12" i="8" s="1"/>
  <c r="D9" i="8"/>
  <c r="E9" i="8" s="1"/>
  <c r="D30" i="8"/>
  <c r="E30" i="8" s="1"/>
  <c r="D31" i="8"/>
  <c r="E31" i="8" s="1"/>
  <c r="D32" i="8"/>
  <c r="E32" i="8" s="1"/>
  <c r="D33" i="8"/>
  <c r="E33" i="8" s="1"/>
  <c r="D29" i="8"/>
  <c r="E29" i="8" s="1"/>
  <c r="E3" i="12"/>
  <c r="E4" i="12"/>
  <c r="F4" i="12" s="1"/>
  <c r="E5" i="12"/>
  <c r="K8" i="13" s="1"/>
  <c r="E6" i="12"/>
  <c r="K9" i="13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E28" i="12"/>
  <c r="F28" i="12" s="1"/>
  <c r="E29" i="12"/>
  <c r="F29" i="12" s="1"/>
  <c r="E30" i="12"/>
  <c r="K33" i="13" s="1"/>
  <c r="E31" i="12"/>
  <c r="F31" i="12" s="1"/>
  <c r="E32" i="12"/>
  <c r="F32" i="12" s="1"/>
  <c r="E33" i="12"/>
  <c r="F33" i="12" s="1"/>
  <c r="E34" i="12"/>
  <c r="F34" i="12" s="1"/>
  <c r="E35" i="12"/>
  <c r="F35" i="12" s="1"/>
  <c r="E36" i="12"/>
  <c r="F36" i="12" s="1"/>
  <c r="E37" i="12"/>
  <c r="F37" i="12" s="1"/>
  <c r="E38" i="12"/>
  <c r="F38" i="12" s="1"/>
  <c r="E39" i="12"/>
  <c r="K42" i="13" s="1"/>
  <c r="E40" i="12"/>
  <c r="K43" i="13" s="1"/>
  <c r="E2" i="12"/>
  <c r="B9" i="13"/>
  <c r="B8" i="13"/>
  <c r="B7" i="13"/>
  <c r="B6" i="13"/>
  <c r="I5" i="13"/>
  <c r="B5" i="13"/>
  <c r="A3" i="12"/>
  <c r="E6" i="11"/>
  <c r="F6" i="11" s="1"/>
  <c r="E5" i="11"/>
  <c r="F5" i="11" s="1"/>
  <c r="J8" i="13" s="1"/>
  <c r="E4" i="11"/>
  <c r="F4" i="11" s="1"/>
  <c r="J7" i="13" s="1"/>
  <c r="E3" i="11"/>
  <c r="F3" i="11" s="1"/>
  <c r="J6" i="13" s="1"/>
  <c r="A3" i="11"/>
  <c r="E2" i="11"/>
  <c r="AN2" i="3" s="1"/>
  <c r="G42" i="10"/>
  <c r="I45" i="13" s="1"/>
  <c r="G41" i="10"/>
  <c r="H41" i="10" s="1"/>
  <c r="G38" i="10"/>
  <c r="H38" i="10" s="1"/>
  <c r="F36" i="10"/>
  <c r="G36" i="10" s="1"/>
  <c r="H36" i="10" s="1"/>
  <c r="F35" i="10"/>
  <c r="G35" i="10" s="1"/>
  <c r="H35" i="10" s="1"/>
  <c r="F34" i="10"/>
  <c r="G34" i="10" s="1"/>
  <c r="H34" i="10" s="1"/>
  <c r="F33" i="10"/>
  <c r="G33" i="10" s="1"/>
  <c r="H33" i="10" s="1"/>
  <c r="H32" i="10"/>
  <c r="G32" i="10"/>
  <c r="F32" i="10"/>
  <c r="G31" i="10"/>
  <c r="H31" i="10" s="1"/>
  <c r="G30" i="10"/>
  <c r="H30" i="10" s="1"/>
  <c r="G29" i="10"/>
  <c r="H29" i="10" s="1"/>
  <c r="F28" i="10"/>
  <c r="G28" i="10" s="1"/>
  <c r="H28" i="10" s="1"/>
  <c r="H27" i="10"/>
  <c r="G27" i="10"/>
  <c r="F27" i="10"/>
  <c r="F26" i="10"/>
  <c r="G26" i="10" s="1"/>
  <c r="H26" i="10" s="1"/>
  <c r="F25" i="10"/>
  <c r="G25" i="10" s="1"/>
  <c r="H25" i="10" s="1"/>
  <c r="F24" i="10"/>
  <c r="G24" i="10" s="1"/>
  <c r="H24" i="10" s="1"/>
  <c r="F23" i="10"/>
  <c r="G23" i="10" s="1"/>
  <c r="H23" i="10" s="1"/>
  <c r="H22" i="10"/>
  <c r="G22" i="10"/>
  <c r="F22" i="10"/>
  <c r="G21" i="10"/>
  <c r="H21" i="10" s="1"/>
  <c r="F21" i="10"/>
  <c r="F20" i="10"/>
  <c r="G20" i="10" s="1"/>
  <c r="H20" i="10" s="1"/>
  <c r="F19" i="10"/>
  <c r="G19" i="10" s="1"/>
  <c r="H19" i="10" s="1"/>
  <c r="F18" i="10"/>
  <c r="G18" i="10" s="1"/>
  <c r="H18" i="10" s="1"/>
  <c r="H17" i="10"/>
  <c r="G17" i="10"/>
  <c r="F17" i="10"/>
  <c r="F16" i="10"/>
  <c r="G16" i="10" s="1"/>
  <c r="H16" i="10" s="1"/>
  <c r="H15" i="10"/>
  <c r="F15" i="10"/>
  <c r="G15" i="10" s="1"/>
  <c r="G14" i="10"/>
  <c r="H14" i="10" s="1"/>
  <c r="F14" i="10"/>
  <c r="E14" i="10"/>
  <c r="D14" i="10"/>
  <c r="F13" i="10"/>
  <c r="G13" i="10" s="1"/>
  <c r="H13" i="10" s="1"/>
  <c r="F12" i="10"/>
  <c r="G12" i="10" s="1"/>
  <c r="H12" i="10" s="1"/>
  <c r="H11" i="10"/>
  <c r="G11" i="10"/>
  <c r="F11" i="10"/>
  <c r="G10" i="10"/>
  <c r="H10" i="10" s="1"/>
  <c r="F10" i="10"/>
  <c r="H9" i="10"/>
  <c r="G9" i="10"/>
  <c r="F9" i="10"/>
  <c r="G8" i="10"/>
  <c r="H8" i="10" s="1"/>
  <c r="F8" i="10"/>
  <c r="F7" i="10"/>
  <c r="G7" i="10" s="1"/>
  <c r="H7" i="10" s="1"/>
  <c r="G6" i="10"/>
  <c r="F6" i="10"/>
  <c r="F5" i="10"/>
  <c r="G5" i="10" s="1"/>
  <c r="I8" i="13" s="1"/>
  <c r="F4" i="10"/>
  <c r="G4" i="10" s="1"/>
  <c r="F3" i="10"/>
  <c r="G3" i="10" s="1"/>
  <c r="H3" i="10" s="1"/>
  <c r="A3" i="10"/>
  <c r="G2" i="10"/>
  <c r="H2" i="10" s="1"/>
  <c r="F2" i="10"/>
  <c r="I11" i="9"/>
  <c r="H11" i="9"/>
  <c r="I10" i="9"/>
  <c r="H10" i="9"/>
  <c r="I9" i="9"/>
  <c r="H9" i="9"/>
  <c r="I8" i="9"/>
  <c r="H8" i="9"/>
  <c r="I7" i="9"/>
  <c r="H7" i="9"/>
  <c r="I6" i="9"/>
  <c r="H6" i="9"/>
  <c r="H9" i="13" s="1"/>
  <c r="I5" i="9"/>
  <c r="H5" i="9"/>
  <c r="H8" i="13" s="1"/>
  <c r="I4" i="9"/>
  <c r="H4" i="9"/>
  <c r="H7" i="13" s="1"/>
  <c r="I3" i="9"/>
  <c r="H3" i="9"/>
  <c r="AG3" i="3" s="1"/>
  <c r="A3" i="9"/>
  <c r="I2" i="9"/>
  <c r="H2" i="9"/>
  <c r="H5" i="13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1" i="8"/>
  <c r="E11" i="8" s="1"/>
  <c r="D10" i="8"/>
  <c r="E10" i="8" s="1"/>
  <c r="D8" i="8"/>
  <c r="E8" i="8" s="1"/>
  <c r="D7" i="8"/>
  <c r="E7" i="8" s="1"/>
  <c r="D6" i="8"/>
  <c r="E6" i="8" s="1"/>
  <c r="D5" i="8"/>
  <c r="E5" i="8" s="1"/>
  <c r="D4" i="8"/>
  <c r="E4" i="8" s="1"/>
  <c r="D3" i="8"/>
  <c r="F6" i="13" s="1"/>
  <c r="A3" i="8"/>
  <c r="D2" i="8"/>
  <c r="E2" i="8" s="1"/>
  <c r="J11" i="7"/>
  <c r="I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A3" i="7"/>
  <c r="A4" i="7" s="1"/>
  <c r="J2" i="7"/>
  <c r="I2" i="7"/>
  <c r="H2" i="7"/>
  <c r="G11" i="6"/>
  <c r="G10" i="6"/>
  <c r="G9" i="6"/>
  <c r="G8" i="6"/>
  <c r="G7" i="6"/>
  <c r="G6" i="6"/>
  <c r="G5" i="6"/>
  <c r="G4" i="6"/>
  <c r="G3" i="6"/>
  <c r="A3" i="6"/>
  <c r="G2" i="6"/>
  <c r="H23" i="5"/>
  <c r="F23" i="5"/>
  <c r="G23" i="5" s="1"/>
  <c r="C26" i="13" s="1"/>
  <c r="H22" i="5"/>
  <c r="F22" i="5"/>
  <c r="G22" i="5" s="1"/>
  <c r="C25" i="13" s="1"/>
  <c r="H21" i="5"/>
  <c r="F21" i="5"/>
  <c r="G21" i="5" s="1"/>
  <c r="C24" i="13" s="1"/>
  <c r="H20" i="5"/>
  <c r="F20" i="5"/>
  <c r="G20" i="5" s="1"/>
  <c r="C23" i="13" s="1"/>
  <c r="H19" i="5"/>
  <c r="F19" i="5"/>
  <c r="G19" i="5" s="1"/>
  <c r="C22" i="13" s="1"/>
  <c r="H18" i="5"/>
  <c r="F18" i="5"/>
  <c r="G18" i="5" s="1"/>
  <c r="C21" i="13" s="1"/>
  <c r="H17" i="5"/>
  <c r="F17" i="5"/>
  <c r="G17" i="5" s="1"/>
  <c r="C20" i="13" s="1"/>
  <c r="H16" i="5"/>
  <c r="F16" i="5"/>
  <c r="G16" i="5" s="1"/>
  <c r="C19" i="13" s="1"/>
  <c r="H15" i="5"/>
  <c r="F15" i="5"/>
  <c r="G15" i="5" s="1"/>
  <c r="C18" i="13" s="1"/>
  <c r="H14" i="5"/>
  <c r="F14" i="5"/>
  <c r="G14" i="5" s="1"/>
  <c r="C17" i="13" s="1"/>
  <c r="H13" i="5"/>
  <c r="F13" i="5"/>
  <c r="G13" i="5" s="1"/>
  <c r="C16" i="13" s="1"/>
  <c r="H12" i="5"/>
  <c r="F12" i="5"/>
  <c r="G12" i="5" s="1"/>
  <c r="C15" i="13" s="1"/>
  <c r="H11" i="5"/>
  <c r="F11" i="5"/>
  <c r="G11" i="5" s="1"/>
  <c r="C14" i="13" s="1"/>
  <c r="H10" i="5"/>
  <c r="F10" i="5"/>
  <c r="G10" i="5" s="1"/>
  <c r="C13" i="13" s="1"/>
  <c r="H9" i="5"/>
  <c r="F9" i="5"/>
  <c r="G9" i="5" s="1"/>
  <c r="C12" i="13" s="1"/>
  <c r="H8" i="5"/>
  <c r="F8" i="5"/>
  <c r="G8" i="5" s="1"/>
  <c r="C11" i="13" s="1"/>
  <c r="H7" i="5"/>
  <c r="F7" i="5"/>
  <c r="G7" i="5" s="1"/>
  <c r="C10" i="13" s="1"/>
  <c r="H6" i="5"/>
  <c r="F6" i="5"/>
  <c r="G6" i="5" s="1"/>
  <c r="C9" i="13" s="1"/>
  <c r="F5" i="5"/>
  <c r="G5" i="5" s="1"/>
  <c r="C8" i="13" s="1"/>
  <c r="H4" i="5"/>
  <c r="F4" i="5"/>
  <c r="G4" i="5" s="1"/>
  <c r="C7" i="13" s="1"/>
  <c r="F3" i="5"/>
  <c r="G3" i="5" s="1"/>
  <c r="A3" i="5"/>
  <c r="F2" i="5"/>
  <c r="G2" i="5" s="1"/>
  <c r="C5" i="13" s="1"/>
  <c r="A3" i="4"/>
  <c r="A4" i="4" s="1"/>
  <c r="A5" i="4" s="1"/>
  <c r="A6" i="4" s="1"/>
  <c r="A7" i="4" s="1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D35" i="3"/>
  <c r="J35" i="3" s="1"/>
  <c r="C35" i="3"/>
  <c r="B35" i="3"/>
  <c r="D34" i="3"/>
  <c r="C34" i="3"/>
  <c r="B34" i="3"/>
  <c r="D33" i="3"/>
  <c r="J33" i="3" s="1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J26" i="3" s="1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J21" i="3" s="1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J17" i="3" s="1"/>
  <c r="C17" i="3"/>
  <c r="B17" i="3"/>
  <c r="G16" i="3"/>
  <c r="F16" i="3"/>
  <c r="E16" i="3"/>
  <c r="D16" i="3"/>
  <c r="J16" i="3" s="1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J12" i="3" s="1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A6" i="3"/>
  <c r="AK6" i="3" s="1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V2" i="3" s="1"/>
  <c r="J18" i="3" l="1"/>
  <c r="J50" i="3"/>
  <c r="J31" i="3"/>
  <c r="K54" i="13"/>
  <c r="L54" i="13" s="1"/>
  <c r="H51" i="10"/>
  <c r="AA51" i="3"/>
  <c r="F54" i="13"/>
  <c r="F51" i="7"/>
  <c r="E54" i="13" s="1"/>
  <c r="K53" i="13"/>
  <c r="L53" i="13"/>
  <c r="H50" i="10"/>
  <c r="H52" i="13"/>
  <c r="C53" i="13"/>
  <c r="H50" i="5"/>
  <c r="N50" i="3"/>
  <c r="J52" i="13"/>
  <c r="I52" i="13"/>
  <c r="L52" i="13" s="1"/>
  <c r="H49" i="10"/>
  <c r="H51" i="13"/>
  <c r="L51" i="13" s="1"/>
  <c r="M51" i="13" s="1"/>
  <c r="N51" i="13" s="1"/>
  <c r="I48" i="9"/>
  <c r="AA49" i="3"/>
  <c r="F52" i="13"/>
  <c r="N49" i="3"/>
  <c r="O49" i="3"/>
  <c r="H5" i="10"/>
  <c r="H5" i="5"/>
  <c r="AK3" i="3"/>
  <c r="AD95" i="3"/>
  <c r="AC95" i="3"/>
  <c r="AU95" i="3"/>
  <c r="Z95" i="3"/>
  <c r="AT95" i="3"/>
  <c r="Y95" i="3"/>
  <c r="AS95" i="3"/>
  <c r="AV93" i="3"/>
  <c r="AA93" i="3"/>
  <c r="AS93" i="3"/>
  <c r="AT87" i="3"/>
  <c r="AO87" i="3"/>
  <c r="AJ87" i="3"/>
  <c r="O87" i="3"/>
  <c r="AT86" i="3"/>
  <c r="AO86" i="3"/>
  <c r="AJ86" i="3"/>
  <c r="O86" i="3"/>
  <c r="AU92" i="3"/>
  <c r="AT84" i="3"/>
  <c r="AP92" i="3"/>
  <c r="AO84" i="3"/>
  <c r="AK92" i="3"/>
  <c r="AJ84" i="3"/>
  <c r="V92" i="3"/>
  <c r="P92" i="3"/>
  <c r="K92" i="3"/>
  <c r="AP89" i="3"/>
  <c r="AK89" i="3"/>
  <c r="P89" i="3"/>
  <c r="K89" i="3"/>
  <c r="P87" i="3"/>
  <c r="N91" i="3"/>
  <c r="K87" i="3"/>
  <c r="AU86" i="3"/>
  <c r="AS90" i="3"/>
  <c r="AP86" i="3"/>
  <c r="AN90" i="3"/>
  <c r="AK86" i="3"/>
  <c r="AI90" i="3"/>
  <c r="P86" i="3"/>
  <c r="AS92" i="3"/>
  <c r="AN92" i="3"/>
  <c r="AI92" i="3"/>
  <c r="AU87" i="3"/>
  <c r="AS91" i="3"/>
  <c r="AP87" i="3"/>
  <c r="AN91" i="3"/>
  <c r="AS89" i="3"/>
  <c r="AN89" i="3"/>
  <c r="AI89" i="3"/>
  <c r="AV77" i="3"/>
  <c r="AL77" i="3"/>
  <c r="AO77" i="3"/>
  <c r="AU80" i="3"/>
  <c r="AO76" i="3"/>
  <c r="AK80" i="3"/>
  <c r="P80" i="3"/>
  <c r="AN80" i="3"/>
  <c r="AU77" i="3"/>
  <c r="AK77" i="3"/>
  <c r="AT72" i="3"/>
  <c r="AJ72" i="3"/>
  <c r="K40" i="13"/>
  <c r="K45" i="13"/>
  <c r="L40" i="13"/>
  <c r="J48" i="13"/>
  <c r="L48" i="13" s="1"/>
  <c r="F44" i="13"/>
  <c r="E43" i="8"/>
  <c r="E39" i="8"/>
  <c r="F40" i="13"/>
  <c r="E3" i="8"/>
  <c r="F43" i="13"/>
  <c r="F48" i="13"/>
  <c r="F84" i="7"/>
  <c r="G84" i="7" s="1"/>
  <c r="F70" i="7"/>
  <c r="G70" i="7" s="1"/>
  <c r="F82" i="7"/>
  <c r="G82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F77" i="7"/>
  <c r="G77" i="7" s="1"/>
  <c r="F7" i="7"/>
  <c r="G7" i="7" s="1"/>
  <c r="F19" i="7"/>
  <c r="F50" i="7"/>
  <c r="F49" i="7"/>
  <c r="F2" i="7"/>
  <c r="E5" i="13" s="1"/>
  <c r="F9" i="7"/>
  <c r="G9" i="7" s="1"/>
  <c r="I77" i="6"/>
  <c r="J77" i="6" s="1"/>
  <c r="K77" i="6" s="1"/>
  <c r="I46" i="6"/>
  <c r="J46" i="6" s="1"/>
  <c r="K46" i="6" s="1"/>
  <c r="I52" i="6"/>
  <c r="J52" i="6" s="1"/>
  <c r="K52" i="6" s="1"/>
  <c r="I50" i="6"/>
  <c r="J50" i="6" s="1"/>
  <c r="I53" i="6"/>
  <c r="J53" i="6" s="1"/>
  <c r="K53" i="6" s="1"/>
  <c r="I76" i="6"/>
  <c r="J76" i="6" s="1"/>
  <c r="K76" i="6" s="1"/>
  <c r="I75" i="6"/>
  <c r="J75" i="6" s="1"/>
  <c r="K75" i="6" s="1"/>
  <c r="I74" i="6"/>
  <c r="J74" i="6" s="1"/>
  <c r="K74" i="6" s="1"/>
  <c r="I73" i="6"/>
  <c r="J73" i="6" s="1"/>
  <c r="K73" i="6" s="1"/>
  <c r="I51" i="6"/>
  <c r="J51" i="6" s="1"/>
  <c r="I56" i="6"/>
  <c r="J56" i="6" s="1"/>
  <c r="K56" i="6" s="1"/>
  <c r="I57" i="6"/>
  <c r="J57" i="6" s="1"/>
  <c r="K57" i="6" s="1"/>
  <c r="I30" i="6"/>
  <c r="J30" i="6" s="1"/>
  <c r="K30" i="6" s="1"/>
  <c r="I59" i="6"/>
  <c r="J59" i="6" s="1"/>
  <c r="K59" i="6" s="1"/>
  <c r="I71" i="6"/>
  <c r="J71" i="6" s="1"/>
  <c r="K71" i="6" s="1"/>
  <c r="I49" i="6"/>
  <c r="J49" i="6" s="1"/>
  <c r="I72" i="6"/>
  <c r="J72" i="6" s="1"/>
  <c r="K72" i="6" s="1"/>
  <c r="I60" i="6"/>
  <c r="J60" i="6" s="1"/>
  <c r="K60" i="6" s="1"/>
  <c r="K37" i="6"/>
  <c r="D40" i="13"/>
  <c r="I35" i="6"/>
  <c r="J35" i="6" s="1"/>
  <c r="I39" i="6"/>
  <c r="J39" i="6" s="1"/>
  <c r="D42" i="13" s="1"/>
  <c r="F48" i="7"/>
  <c r="G48" i="7" s="1"/>
  <c r="F47" i="7"/>
  <c r="G47" i="7" s="1"/>
  <c r="I45" i="6"/>
  <c r="J45" i="6" s="1"/>
  <c r="H43" i="5"/>
  <c r="G37" i="11"/>
  <c r="J47" i="13"/>
  <c r="J46" i="13"/>
  <c r="K47" i="13"/>
  <c r="I47" i="13"/>
  <c r="H44" i="10"/>
  <c r="F47" i="13"/>
  <c r="I44" i="6"/>
  <c r="J44" i="6" s="1"/>
  <c r="K44" i="6" s="1"/>
  <c r="F43" i="12"/>
  <c r="I46" i="13"/>
  <c r="H46" i="13"/>
  <c r="D46" i="13"/>
  <c r="K43" i="6"/>
  <c r="J45" i="13"/>
  <c r="I42" i="9"/>
  <c r="E42" i="8"/>
  <c r="F14" i="7"/>
  <c r="E17" i="13" s="1"/>
  <c r="F24" i="7"/>
  <c r="G24" i="7" s="1"/>
  <c r="F21" i="7"/>
  <c r="G21" i="7" s="1"/>
  <c r="F20" i="7"/>
  <c r="G20" i="7" s="1"/>
  <c r="F15" i="7"/>
  <c r="G15" i="7" s="1"/>
  <c r="F12" i="7"/>
  <c r="G12" i="7" s="1"/>
  <c r="F23" i="7"/>
  <c r="E26" i="13" s="1"/>
  <c r="F22" i="7"/>
  <c r="G22" i="7" s="1"/>
  <c r="E12" i="13"/>
  <c r="G19" i="7"/>
  <c r="E22" i="13"/>
  <c r="F34" i="7"/>
  <c r="F42" i="7"/>
  <c r="G42" i="7" s="1"/>
  <c r="F32" i="7"/>
  <c r="F6" i="7"/>
  <c r="E9" i="13" s="1"/>
  <c r="E10" i="13"/>
  <c r="F46" i="7"/>
  <c r="G46" i="7" s="1"/>
  <c r="F10" i="7"/>
  <c r="F44" i="7"/>
  <c r="F39" i="7"/>
  <c r="G39" i="7" s="1"/>
  <c r="F45" i="7"/>
  <c r="F43" i="7"/>
  <c r="F35" i="7"/>
  <c r="K42" i="6"/>
  <c r="D45" i="13"/>
  <c r="J44" i="13"/>
  <c r="I44" i="13"/>
  <c r="F41" i="7"/>
  <c r="G41" i="7" s="1"/>
  <c r="K41" i="6"/>
  <c r="D44" i="13"/>
  <c r="A4" i="3"/>
  <c r="AP4" i="3" s="1"/>
  <c r="AE3" i="3"/>
  <c r="AJ6" i="3"/>
  <c r="J23" i="3"/>
  <c r="AE2" i="3"/>
  <c r="AP2" i="3"/>
  <c r="AG7" i="3"/>
  <c r="AD6" i="3"/>
  <c r="S2" i="3"/>
  <c r="AJ3" i="3"/>
  <c r="J4" i="3"/>
  <c r="J7" i="3"/>
  <c r="K2" i="3"/>
  <c r="AC6" i="3"/>
  <c r="AD3" i="3"/>
  <c r="W3" i="3"/>
  <c r="J3" i="3"/>
  <c r="L2" i="3"/>
  <c r="AI6" i="3"/>
  <c r="AB3" i="3"/>
  <c r="AL3" i="3"/>
  <c r="AF6" i="3"/>
  <c r="AQ3" i="3"/>
  <c r="AR2" i="3"/>
  <c r="AD2" i="3"/>
  <c r="A5" i="3"/>
  <c r="J11" i="3"/>
  <c r="M2" i="3"/>
  <c r="Q2" i="3"/>
  <c r="AC2" i="3"/>
  <c r="AH6" i="3"/>
  <c r="AI3" i="3"/>
  <c r="AB6" i="3"/>
  <c r="J6" i="3"/>
  <c r="J9" i="3"/>
  <c r="J19" i="3"/>
  <c r="AE6" i="3"/>
  <c r="AF3" i="3"/>
  <c r="F40" i="12"/>
  <c r="J43" i="13"/>
  <c r="I43" i="13"/>
  <c r="I40" i="9"/>
  <c r="F40" i="7"/>
  <c r="I40" i="6"/>
  <c r="J40" i="6" s="1"/>
  <c r="K40" i="6"/>
  <c r="D43" i="13"/>
  <c r="F39" i="12"/>
  <c r="J42" i="13"/>
  <c r="I42" i="13"/>
  <c r="E42" i="13"/>
  <c r="K39" i="6"/>
  <c r="K41" i="13"/>
  <c r="J41" i="13"/>
  <c r="F41" i="13"/>
  <c r="I38" i="6"/>
  <c r="J38" i="6" s="1"/>
  <c r="D41" i="13" s="1"/>
  <c r="K37" i="13"/>
  <c r="L37" i="13" s="1"/>
  <c r="K36" i="13"/>
  <c r="L36" i="13" s="1"/>
  <c r="K38" i="13"/>
  <c r="K25" i="13"/>
  <c r="K24" i="13"/>
  <c r="F30" i="12"/>
  <c r="K32" i="13"/>
  <c r="K31" i="13"/>
  <c r="K29" i="13"/>
  <c r="K23" i="13"/>
  <c r="K22" i="13"/>
  <c r="K12" i="13"/>
  <c r="K19" i="13"/>
  <c r="K18" i="13"/>
  <c r="K16" i="13"/>
  <c r="K11" i="13"/>
  <c r="L11" i="13" s="1"/>
  <c r="K21" i="13"/>
  <c r="K20" i="13"/>
  <c r="K17" i="13"/>
  <c r="K39" i="13"/>
  <c r="K35" i="13"/>
  <c r="L35" i="13" s="1"/>
  <c r="K15" i="13"/>
  <c r="K34" i="13"/>
  <c r="K14" i="13"/>
  <c r="K13" i="13"/>
  <c r="F5" i="12"/>
  <c r="K30" i="13"/>
  <c r="K10" i="13"/>
  <c r="L10" i="13" s="1"/>
  <c r="AT7" i="3" s="1"/>
  <c r="K28" i="13"/>
  <c r="L28" i="13" s="1"/>
  <c r="K7" i="13"/>
  <c r="K27" i="13"/>
  <c r="K26" i="13"/>
  <c r="G29" i="11"/>
  <c r="J15" i="13"/>
  <c r="J14" i="13"/>
  <c r="J13" i="13"/>
  <c r="G30" i="11"/>
  <c r="J30" i="13"/>
  <c r="J29" i="13"/>
  <c r="G8" i="11"/>
  <c r="G7" i="11"/>
  <c r="J31" i="13"/>
  <c r="G32" i="11"/>
  <c r="G31" i="11"/>
  <c r="J12" i="13"/>
  <c r="G33" i="11"/>
  <c r="J27" i="13"/>
  <c r="G34" i="11"/>
  <c r="G25" i="11"/>
  <c r="G16" i="11"/>
  <c r="J19" i="13"/>
  <c r="G14" i="11"/>
  <c r="J17" i="13"/>
  <c r="G13" i="11"/>
  <c r="J16" i="13"/>
  <c r="L16" i="13" s="1"/>
  <c r="J26" i="13"/>
  <c r="G23" i="11"/>
  <c r="J25" i="13"/>
  <c r="G22" i="11"/>
  <c r="G18" i="11"/>
  <c r="J21" i="13"/>
  <c r="J24" i="13"/>
  <c r="G21" i="11"/>
  <c r="J22" i="13"/>
  <c r="G19" i="11"/>
  <c r="G15" i="11"/>
  <c r="J18" i="13"/>
  <c r="J23" i="13"/>
  <c r="G20" i="11"/>
  <c r="J20" i="13"/>
  <c r="G17" i="11"/>
  <c r="J39" i="13"/>
  <c r="J38" i="13"/>
  <c r="I32" i="13"/>
  <c r="I34" i="13"/>
  <c r="I33" i="13"/>
  <c r="L33" i="13" s="1"/>
  <c r="A40" i="9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F16" i="13"/>
  <c r="F17" i="13"/>
  <c r="F15" i="13"/>
  <c r="F37" i="13"/>
  <c r="F25" i="13"/>
  <c r="F20" i="13"/>
  <c r="F18" i="13"/>
  <c r="F24" i="13"/>
  <c r="F38" i="13"/>
  <c r="F14" i="13"/>
  <c r="F13" i="13"/>
  <c r="F12" i="13"/>
  <c r="F36" i="13"/>
  <c r="F35" i="13"/>
  <c r="F34" i="13"/>
  <c r="F33" i="13"/>
  <c r="F32" i="13"/>
  <c r="F27" i="13"/>
  <c r="F31" i="13"/>
  <c r="F11" i="13"/>
  <c r="F30" i="13"/>
  <c r="F10" i="13"/>
  <c r="F29" i="13"/>
  <c r="F28" i="13"/>
  <c r="F26" i="13"/>
  <c r="F23" i="13"/>
  <c r="F22" i="13"/>
  <c r="F21" i="13"/>
  <c r="F39" i="13"/>
  <c r="F19" i="13"/>
  <c r="I29" i="6"/>
  <c r="J29" i="6" s="1"/>
  <c r="D32" i="13" s="1"/>
  <c r="I12" i="6"/>
  <c r="J12" i="6" s="1"/>
  <c r="I31" i="6"/>
  <c r="J31" i="6" s="1"/>
  <c r="K31" i="6" s="1"/>
  <c r="I36" i="6"/>
  <c r="J36" i="6" s="1"/>
  <c r="K36" i="6" s="1"/>
  <c r="I27" i="6"/>
  <c r="J27" i="6" s="1"/>
  <c r="K27" i="6" s="1"/>
  <c r="I21" i="6"/>
  <c r="J21" i="6" s="1"/>
  <c r="K21" i="6" s="1"/>
  <c r="I26" i="6"/>
  <c r="J26" i="6" s="1"/>
  <c r="I6" i="6"/>
  <c r="J6" i="6" s="1"/>
  <c r="D9" i="13" s="1"/>
  <c r="I22" i="6"/>
  <c r="J22" i="6" s="1"/>
  <c r="K22" i="6"/>
  <c r="D25" i="13"/>
  <c r="D30" i="13"/>
  <c r="D24" i="13"/>
  <c r="K26" i="6"/>
  <c r="D29" i="13"/>
  <c r="K35" i="6"/>
  <c r="D38" i="13"/>
  <c r="D33" i="13"/>
  <c r="I25" i="6"/>
  <c r="J25" i="6" s="1"/>
  <c r="I23" i="6"/>
  <c r="J23" i="6" s="1"/>
  <c r="I18" i="6"/>
  <c r="J18" i="6" s="1"/>
  <c r="I17" i="6"/>
  <c r="J17" i="6" s="1"/>
  <c r="I16" i="6"/>
  <c r="J16" i="6" s="1"/>
  <c r="I19" i="6"/>
  <c r="J19" i="6" s="1"/>
  <c r="I10" i="6"/>
  <c r="J10" i="6" s="1"/>
  <c r="I34" i="6"/>
  <c r="J34" i="6" s="1"/>
  <c r="I14" i="6"/>
  <c r="J14" i="6" s="1"/>
  <c r="D31" i="13"/>
  <c r="I11" i="6"/>
  <c r="J11" i="6" s="1"/>
  <c r="I15" i="6"/>
  <c r="J15" i="6" s="1"/>
  <c r="I9" i="6"/>
  <c r="J9" i="6" s="1"/>
  <c r="I33" i="6"/>
  <c r="J33" i="6" s="1"/>
  <c r="I13" i="6"/>
  <c r="J13" i="6" s="1"/>
  <c r="D39" i="13"/>
  <c r="I20" i="6"/>
  <c r="J20" i="6" s="1"/>
  <c r="I8" i="6"/>
  <c r="J8" i="6" s="1"/>
  <c r="I32" i="6"/>
  <c r="J32" i="6" s="1"/>
  <c r="I24" i="6"/>
  <c r="J24" i="6" s="1"/>
  <c r="I7" i="6"/>
  <c r="J7" i="6" s="1"/>
  <c r="C28" i="13"/>
  <c r="H25" i="5"/>
  <c r="H28" i="5"/>
  <c r="C33" i="13"/>
  <c r="J14" i="3"/>
  <c r="J30" i="3"/>
  <c r="J5" i="3"/>
  <c r="J15" i="3"/>
  <c r="J20" i="3"/>
  <c r="J28" i="3"/>
  <c r="J25" i="3"/>
  <c r="J22" i="3"/>
  <c r="J10" i="3"/>
  <c r="J29" i="3"/>
  <c r="A17" i="13"/>
  <c r="AP3" i="3"/>
  <c r="AR3" i="3"/>
  <c r="G6" i="11"/>
  <c r="J9" i="13"/>
  <c r="L9" i="13" s="1"/>
  <c r="AT6" i="3" s="1"/>
  <c r="AO3" i="3"/>
  <c r="AM3" i="3"/>
  <c r="F2" i="11"/>
  <c r="AO2" i="3" s="1"/>
  <c r="AN3" i="3"/>
  <c r="G4" i="11"/>
  <c r="A4" i="11"/>
  <c r="AN4" i="3" s="1"/>
  <c r="A39" i="10"/>
  <c r="I36" i="9"/>
  <c r="AG6" i="3"/>
  <c r="F5" i="13"/>
  <c r="AA2" i="3"/>
  <c r="F7" i="13"/>
  <c r="AA3" i="3"/>
  <c r="F9" i="13"/>
  <c r="Z3" i="3"/>
  <c r="F36" i="7"/>
  <c r="Y36" i="3" s="1"/>
  <c r="F16" i="7"/>
  <c r="F33" i="7"/>
  <c r="F13" i="7"/>
  <c r="F38" i="7"/>
  <c r="F18" i="7"/>
  <c r="F37" i="7"/>
  <c r="F17" i="7"/>
  <c r="F30" i="7"/>
  <c r="F28" i="7"/>
  <c r="F26" i="7"/>
  <c r="F31" i="7"/>
  <c r="F29" i="7"/>
  <c r="F25" i="7"/>
  <c r="F27" i="7"/>
  <c r="F3" i="7"/>
  <c r="G3" i="7" s="1"/>
  <c r="F8" i="7"/>
  <c r="F4" i="7"/>
  <c r="X3" i="3"/>
  <c r="F5" i="7"/>
  <c r="V3" i="3"/>
  <c r="I5" i="6"/>
  <c r="J5" i="6" s="1"/>
  <c r="I2" i="6"/>
  <c r="J2" i="6" s="1"/>
  <c r="U2" i="3" s="1"/>
  <c r="I4" i="6"/>
  <c r="J4" i="6" s="1"/>
  <c r="R3" i="3"/>
  <c r="T3" i="3"/>
  <c r="S3" i="3"/>
  <c r="A4" i="6"/>
  <c r="P4" i="3" s="1"/>
  <c r="P3" i="3"/>
  <c r="Q3" i="3"/>
  <c r="N3" i="3"/>
  <c r="N2" i="3"/>
  <c r="O2" i="3"/>
  <c r="O3" i="3"/>
  <c r="M3" i="3"/>
  <c r="K3" i="3"/>
  <c r="L3" i="3"/>
  <c r="A4" i="12"/>
  <c r="F6" i="12"/>
  <c r="H6" i="13"/>
  <c r="K5" i="13"/>
  <c r="F2" i="12"/>
  <c r="I7" i="13"/>
  <c r="H4" i="10"/>
  <c r="C6" i="13"/>
  <c r="H3" i="5"/>
  <c r="J8" i="3"/>
  <c r="J2" i="3"/>
  <c r="A5" i="7"/>
  <c r="J27" i="3"/>
  <c r="H6" i="10"/>
  <c r="G3" i="11"/>
  <c r="J13" i="3"/>
  <c r="H2" i="5"/>
  <c r="J32" i="3"/>
  <c r="A7" i="3"/>
  <c r="A8" i="4"/>
  <c r="A4" i="5"/>
  <c r="J24" i="3"/>
  <c r="A4" i="8"/>
  <c r="K6" i="13"/>
  <c r="F3" i="12"/>
  <c r="G2" i="7"/>
  <c r="G5" i="11"/>
  <c r="F8" i="13"/>
  <c r="A4" i="10"/>
  <c r="L8" i="13"/>
  <c r="AT5" i="3" s="1"/>
  <c r="I3" i="6"/>
  <c r="J3" i="6" s="1"/>
  <c r="U3" i="3" s="1"/>
  <c r="F11" i="7"/>
  <c r="A4" i="9"/>
  <c r="I6" i="13"/>
  <c r="G51" i="7" l="1"/>
  <c r="Y51" i="3"/>
  <c r="K51" i="6"/>
  <c r="U51" i="3"/>
  <c r="D54" i="13"/>
  <c r="G54" i="13" s="1"/>
  <c r="M54" i="13" s="1"/>
  <c r="N54" i="13" s="1"/>
  <c r="G50" i="7"/>
  <c r="Y50" i="3"/>
  <c r="E53" i="13"/>
  <c r="G53" i="13" s="1"/>
  <c r="M53" i="13" s="1"/>
  <c r="N53" i="13" s="1"/>
  <c r="K50" i="6"/>
  <c r="U50" i="3"/>
  <c r="D53" i="13"/>
  <c r="E52" i="13"/>
  <c r="Y49" i="3"/>
  <c r="G49" i="7"/>
  <c r="K49" i="6"/>
  <c r="D52" i="13"/>
  <c r="G52" i="13" s="1"/>
  <c r="M52" i="13" s="1"/>
  <c r="N52" i="13" s="1"/>
  <c r="U49" i="3"/>
  <c r="L7" i="13"/>
  <c r="L45" i="13"/>
  <c r="L44" i="13"/>
  <c r="L32" i="13"/>
  <c r="L24" i="13"/>
  <c r="L13" i="13"/>
  <c r="L47" i="13"/>
  <c r="L26" i="13"/>
  <c r="L14" i="13"/>
  <c r="L38" i="13"/>
  <c r="Y2" i="3"/>
  <c r="E44" i="13"/>
  <c r="G44" i="13" s="1"/>
  <c r="G14" i="7"/>
  <c r="E18" i="13"/>
  <c r="E23" i="13"/>
  <c r="E24" i="13"/>
  <c r="G24" i="13" s="1"/>
  <c r="M24" i="13" s="1"/>
  <c r="N24" i="13" s="1"/>
  <c r="E27" i="13"/>
  <c r="G42" i="13"/>
  <c r="E15" i="13"/>
  <c r="G23" i="7"/>
  <c r="K29" i="6"/>
  <c r="D34" i="13"/>
  <c r="K45" i="6"/>
  <c r="G45" i="7"/>
  <c r="E48" i="13"/>
  <c r="L42" i="13"/>
  <c r="L23" i="13"/>
  <c r="L43" i="13"/>
  <c r="L25" i="13"/>
  <c r="L41" i="13"/>
  <c r="L46" i="13"/>
  <c r="D47" i="13"/>
  <c r="E25" i="13"/>
  <c r="G25" i="13" s="1"/>
  <c r="G32" i="7"/>
  <c r="E35" i="13"/>
  <c r="G17" i="7"/>
  <c r="E20" i="13"/>
  <c r="G13" i="7"/>
  <c r="E16" i="13"/>
  <c r="E45" i="13"/>
  <c r="G45" i="13" s="1"/>
  <c r="G30" i="7"/>
  <c r="E33" i="13"/>
  <c r="G33" i="13" s="1"/>
  <c r="M33" i="13" s="1"/>
  <c r="N33" i="13" s="1"/>
  <c r="G37" i="7"/>
  <c r="E40" i="13"/>
  <c r="G40" i="13" s="1"/>
  <c r="M40" i="13" s="1"/>
  <c r="N40" i="13" s="1"/>
  <c r="G34" i="7"/>
  <c r="E37" i="13"/>
  <c r="G36" i="7"/>
  <c r="E39" i="13"/>
  <c r="G39" i="13" s="1"/>
  <c r="G27" i="7"/>
  <c r="E30" i="13"/>
  <c r="G30" i="13" s="1"/>
  <c r="G10" i="7"/>
  <c r="E13" i="13"/>
  <c r="G43" i="7"/>
  <c r="E46" i="13"/>
  <c r="G46" i="13" s="1"/>
  <c r="G25" i="7"/>
  <c r="E28" i="13"/>
  <c r="G44" i="7"/>
  <c r="E47" i="13"/>
  <c r="G35" i="7"/>
  <c r="E38" i="13"/>
  <c r="G38" i="13" s="1"/>
  <c r="G6" i="7"/>
  <c r="G11" i="7"/>
  <c r="E14" i="13"/>
  <c r="G29" i="7"/>
  <c r="E32" i="13"/>
  <c r="G32" i="13" s="1"/>
  <c r="G31" i="7"/>
  <c r="E34" i="13"/>
  <c r="G18" i="7"/>
  <c r="E21" i="13"/>
  <c r="G33" i="7"/>
  <c r="E36" i="13"/>
  <c r="G16" i="7"/>
  <c r="E19" i="13"/>
  <c r="G8" i="7"/>
  <c r="E11" i="13"/>
  <c r="G26" i="7"/>
  <c r="E29" i="13"/>
  <c r="G29" i="13" s="1"/>
  <c r="G28" i="7"/>
  <c r="E31" i="13"/>
  <c r="G31" i="13" s="1"/>
  <c r="AE5" i="3"/>
  <c r="AF5" i="3"/>
  <c r="AG5" i="3"/>
  <c r="AB5" i="3"/>
  <c r="AH5" i="3"/>
  <c r="AI5" i="3"/>
  <c r="AC5" i="3"/>
  <c r="AK5" i="3"/>
  <c r="AD5" i="3"/>
  <c r="AJ5" i="3"/>
  <c r="V4" i="3"/>
  <c r="AT4" i="3"/>
  <c r="X4" i="3"/>
  <c r="Z4" i="3"/>
  <c r="O4" i="3"/>
  <c r="AQ4" i="3"/>
  <c r="AR4" i="3"/>
  <c r="AK7" i="3"/>
  <c r="AE7" i="3"/>
  <c r="AB7" i="3"/>
  <c r="AC7" i="3"/>
  <c r="AF7" i="3"/>
  <c r="AH7" i="3"/>
  <c r="AI7" i="3"/>
  <c r="AJ7" i="3"/>
  <c r="AD7" i="3"/>
  <c r="AK4" i="3"/>
  <c r="AH4" i="3"/>
  <c r="AC4" i="3"/>
  <c r="AF4" i="3"/>
  <c r="AB4" i="3"/>
  <c r="W4" i="3"/>
  <c r="AD4" i="3"/>
  <c r="AI4" i="3"/>
  <c r="AJ4" i="3"/>
  <c r="AE4" i="3"/>
  <c r="AG4" i="3"/>
  <c r="G40" i="7"/>
  <c r="E43" i="13"/>
  <c r="G43" i="13" s="1"/>
  <c r="G38" i="7"/>
  <c r="E41" i="13"/>
  <c r="G41" i="13" s="1"/>
  <c r="K38" i="6"/>
  <c r="L19" i="13"/>
  <c r="L29" i="13"/>
  <c r="L17" i="13"/>
  <c r="L31" i="13"/>
  <c r="L21" i="13"/>
  <c r="L20" i="13"/>
  <c r="L39" i="13"/>
  <c r="L15" i="13"/>
  <c r="L18" i="13"/>
  <c r="L22" i="13"/>
  <c r="L34" i="13"/>
  <c r="L12" i="13"/>
  <c r="L27" i="13"/>
  <c r="L30" i="13"/>
  <c r="AM4" i="3"/>
  <c r="A5" i="11"/>
  <c r="AL5" i="3" s="1"/>
  <c r="K6" i="6"/>
  <c r="K12" i="6"/>
  <c r="D15" i="13"/>
  <c r="K24" i="6"/>
  <c r="D27" i="13"/>
  <c r="K14" i="6"/>
  <c r="D17" i="13"/>
  <c r="G17" i="13" s="1"/>
  <c r="K19" i="6"/>
  <c r="D22" i="13"/>
  <c r="G22" i="13" s="1"/>
  <c r="K9" i="6"/>
  <c r="D12" i="13"/>
  <c r="G12" i="13" s="1"/>
  <c r="K8" i="6"/>
  <c r="D11" i="13"/>
  <c r="K13" i="6"/>
  <c r="D16" i="13"/>
  <c r="K16" i="6"/>
  <c r="D19" i="13"/>
  <c r="K17" i="6"/>
  <c r="D20" i="13"/>
  <c r="K34" i="6"/>
  <c r="D37" i="13"/>
  <c r="K15" i="6"/>
  <c r="D18" i="13"/>
  <c r="K32" i="6"/>
  <c r="D35" i="13"/>
  <c r="K7" i="6"/>
  <c r="D10" i="13"/>
  <c r="G10" i="13" s="1"/>
  <c r="K11" i="6"/>
  <c r="D14" i="13"/>
  <c r="K18" i="6"/>
  <c r="D21" i="13"/>
  <c r="K23" i="6"/>
  <c r="D26" i="13"/>
  <c r="G26" i="13" s="1"/>
  <c r="M26" i="13" s="1"/>
  <c r="N26" i="13" s="1"/>
  <c r="K20" i="6"/>
  <c r="D23" i="13"/>
  <c r="K33" i="6"/>
  <c r="D36" i="13"/>
  <c r="K25" i="6"/>
  <c r="D28" i="13"/>
  <c r="K10" i="6"/>
  <c r="D13" i="13"/>
  <c r="A18" i="13"/>
  <c r="G9" i="13"/>
  <c r="AS6" i="3" s="1"/>
  <c r="L6" i="13"/>
  <c r="AT3" i="3" s="1"/>
  <c r="AO4" i="3"/>
  <c r="J5" i="13"/>
  <c r="L5" i="13" s="1"/>
  <c r="AT2" i="3" s="1"/>
  <c r="G2" i="11"/>
  <c r="AL4" i="3"/>
  <c r="A40" i="10"/>
  <c r="AA4" i="3"/>
  <c r="G4" i="7"/>
  <c r="E7" i="13"/>
  <c r="Y5" i="3"/>
  <c r="E8" i="13"/>
  <c r="G5" i="7"/>
  <c r="Y4" i="3"/>
  <c r="V5" i="3"/>
  <c r="W5" i="3"/>
  <c r="E6" i="13"/>
  <c r="Y3" i="3"/>
  <c r="X5" i="3"/>
  <c r="K4" i="6"/>
  <c r="D7" i="13"/>
  <c r="D5" i="13"/>
  <c r="G5" i="13" s="1"/>
  <c r="AS2" i="3" s="1"/>
  <c r="D8" i="13"/>
  <c r="K5" i="6"/>
  <c r="K2" i="6"/>
  <c r="Q4" i="3"/>
  <c r="U4" i="3"/>
  <c r="T4" i="3"/>
  <c r="S4" i="3"/>
  <c r="R4" i="3"/>
  <c r="A5" i="6"/>
  <c r="Q5" i="3" s="1"/>
  <c r="M4" i="3"/>
  <c r="K4" i="3"/>
  <c r="L4" i="3"/>
  <c r="N4" i="3"/>
  <c r="A5" i="12"/>
  <c r="A5" i="10"/>
  <c r="A5" i="5"/>
  <c r="K5" i="3" s="1"/>
  <c r="A6" i="7"/>
  <c r="A5" i="9"/>
  <c r="A5" i="8"/>
  <c r="A9" i="4"/>
  <c r="A8" i="3"/>
  <c r="D6" i="13"/>
  <c r="K3" i="6"/>
  <c r="G23" i="13" l="1"/>
  <c r="M38" i="13"/>
  <c r="N38" i="13" s="1"/>
  <c r="M45" i="13"/>
  <c r="N45" i="13" s="1"/>
  <c r="M44" i="13"/>
  <c r="N44" i="13" s="1"/>
  <c r="M32" i="13"/>
  <c r="N32" i="13" s="1"/>
  <c r="G48" i="13"/>
  <c r="M48" i="13" s="1"/>
  <c r="N48" i="13" s="1"/>
  <c r="G35" i="13"/>
  <c r="M35" i="13" s="1"/>
  <c r="N35" i="13" s="1"/>
  <c r="G47" i="13"/>
  <c r="M47" i="13" s="1"/>
  <c r="N47" i="13" s="1"/>
  <c r="G34" i="13"/>
  <c r="M34" i="13" s="1"/>
  <c r="N34" i="13" s="1"/>
  <c r="G6" i="13"/>
  <c r="AS3" i="3" s="1"/>
  <c r="M31" i="13"/>
  <c r="N31" i="13" s="1"/>
  <c r="M43" i="13"/>
  <c r="N43" i="13" s="1"/>
  <c r="M46" i="13"/>
  <c r="N46" i="13" s="1"/>
  <c r="M42" i="13"/>
  <c r="N42" i="13" s="1"/>
  <c r="M25" i="13"/>
  <c r="N25" i="13" s="1"/>
  <c r="M23" i="13"/>
  <c r="N23" i="13" s="1"/>
  <c r="G18" i="13"/>
  <c r="M18" i="13" s="1"/>
  <c r="N18" i="13" s="1"/>
  <c r="G27" i="13"/>
  <c r="M27" i="13" s="1"/>
  <c r="N27" i="13" s="1"/>
  <c r="G15" i="13"/>
  <c r="M15" i="13" s="1"/>
  <c r="N15" i="13" s="1"/>
  <c r="G28" i="13"/>
  <c r="M28" i="13" s="1"/>
  <c r="N28" i="13" s="1"/>
  <c r="G20" i="13"/>
  <c r="M20" i="13" s="1"/>
  <c r="N20" i="13" s="1"/>
  <c r="G19" i="13"/>
  <c r="M19" i="13" s="1"/>
  <c r="N19" i="13" s="1"/>
  <c r="G16" i="13"/>
  <c r="M16" i="13" s="1"/>
  <c r="G11" i="13"/>
  <c r="M11" i="13" s="1"/>
  <c r="M29" i="13"/>
  <c r="N29" i="13" s="1"/>
  <c r="M41" i="13"/>
  <c r="N41" i="13" s="1"/>
  <c r="G14" i="13"/>
  <c r="M14" i="13" s="1"/>
  <c r="G21" i="13"/>
  <c r="M21" i="13" s="1"/>
  <c r="N21" i="13" s="1"/>
  <c r="G37" i="13"/>
  <c r="M37" i="13" s="1"/>
  <c r="N37" i="13" s="1"/>
  <c r="M30" i="13"/>
  <c r="N30" i="13" s="1"/>
  <c r="G13" i="13"/>
  <c r="M13" i="13" s="1"/>
  <c r="G36" i="13"/>
  <c r="M36" i="13" s="1"/>
  <c r="N36" i="13" s="1"/>
  <c r="AJ8" i="3"/>
  <c r="AF8" i="3"/>
  <c r="AH8" i="3"/>
  <c r="AI8" i="3"/>
  <c r="AE8" i="3"/>
  <c r="AC8" i="3"/>
  <c r="AB8" i="3"/>
  <c r="AD8" i="3"/>
  <c r="AK8" i="3"/>
  <c r="AG8" i="3"/>
  <c r="AT8" i="3"/>
  <c r="M39" i="13"/>
  <c r="N39" i="13" s="1"/>
  <c r="M17" i="13"/>
  <c r="N17" i="13" s="1"/>
  <c r="M22" i="13"/>
  <c r="N22" i="13" s="1"/>
  <c r="AO5" i="3"/>
  <c r="AN5" i="3"/>
  <c r="AM5" i="3"/>
  <c r="A6" i="11"/>
  <c r="AL6" i="3" s="1"/>
  <c r="M12" i="13"/>
  <c r="AS9" i="3"/>
  <c r="M10" i="13"/>
  <c r="AS7" i="3"/>
  <c r="A19" i="13"/>
  <c r="G8" i="13"/>
  <c r="AS5" i="3" s="1"/>
  <c r="M9" i="13"/>
  <c r="AU6" i="3" s="1"/>
  <c r="G7" i="13"/>
  <c r="AS4" i="3" s="1"/>
  <c r="AR5" i="3"/>
  <c r="AQ5" i="3"/>
  <c r="AP5" i="3"/>
  <c r="A41" i="10"/>
  <c r="Z5" i="3"/>
  <c r="AA5" i="3"/>
  <c r="W6" i="3"/>
  <c r="V6" i="3"/>
  <c r="X6" i="3"/>
  <c r="Y7" i="3"/>
  <c r="X7" i="3"/>
  <c r="Y6" i="3"/>
  <c r="M5" i="13"/>
  <c r="N5" i="13" s="1"/>
  <c r="AV2" i="3" s="1"/>
  <c r="R5" i="3"/>
  <c r="U5" i="3"/>
  <c r="P5" i="3"/>
  <c r="A6" i="6"/>
  <c r="U6" i="3" s="1"/>
  <c r="S5" i="3"/>
  <c r="T5" i="3"/>
  <c r="M5" i="3"/>
  <c r="N5" i="3"/>
  <c r="O5" i="3"/>
  <c r="L5" i="3"/>
  <c r="A6" i="12"/>
  <c r="A6" i="9"/>
  <c r="A6" i="10"/>
  <c r="A7" i="7"/>
  <c r="V7" i="3" s="1"/>
  <c r="A6" i="8"/>
  <c r="AA6" i="3" s="1"/>
  <c r="A10" i="4"/>
  <c r="A9" i="3"/>
  <c r="A6" i="5"/>
  <c r="M6" i="3" s="1"/>
  <c r="M6" i="13" l="1"/>
  <c r="N6" i="13" s="1"/>
  <c r="AV3" i="3" s="1"/>
  <c r="AM6" i="3"/>
  <c r="AN6" i="3"/>
  <c r="A7" i="11"/>
  <c r="AO7" i="3" s="1"/>
  <c r="AS8" i="3"/>
  <c r="AJ9" i="3"/>
  <c r="AE9" i="3"/>
  <c r="AK9" i="3"/>
  <c r="AF9" i="3"/>
  <c r="AB9" i="3"/>
  <c r="AH9" i="3"/>
  <c r="AI9" i="3"/>
  <c r="AC9" i="3"/>
  <c r="AD9" i="3"/>
  <c r="AG9" i="3"/>
  <c r="AT9" i="3"/>
  <c r="AO6" i="3"/>
  <c r="N14" i="13"/>
  <c r="AU8" i="3"/>
  <c r="N11" i="13"/>
  <c r="AV8" i="3" s="1"/>
  <c r="N13" i="13"/>
  <c r="AV10" i="3" s="1"/>
  <c r="AU10" i="3"/>
  <c r="N16" i="13"/>
  <c r="N10" i="13"/>
  <c r="AV7" i="3" s="1"/>
  <c r="AU7" i="3"/>
  <c r="M8" i="13"/>
  <c r="AU5" i="3" s="1"/>
  <c r="N12" i="13"/>
  <c r="AV9" i="3" s="1"/>
  <c r="AU9" i="3"/>
  <c r="N9" i="13"/>
  <c r="AV6" i="3" s="1"/>
  <c r="A20" i="13"/>
  <c r="M7" i="13"/>
  <c r="AU4" i="3" s="1"/>
  <c r="AQ6" i="3"/>
  <c r="AP6" i="3"/>
  <c r="AR6" i="3"/>
  <c r="A42" i="10"/>
  <c r="Z6" i="3"/>
  <c r="W7" i="3"/>
  <c r="AU2" i="3"/>
  <c r="P6" i="3"/>
  <c r="Q6" i="3"/>
  <c r="R6" i="3"/>
  <c r="T6" i="3"/>
  <c r="S6" i="3"/>
  <c r="A7" i="6"/>
  <c r="K6" i="3"/>
  <c r="N6" i="3"/>
  <c r="O6" i="3"/>
  <c r="L6" i="3"/>
  <c r="A7" i="12"/>
  <c r="A11" i="4"/>
  <c r="A10" i="3"/>
  <c r="A7" i="10"/>
  <c r="A7" i="8"/>
  <c r="AA7" i="3" s="1"/>
  <c r="A7" i="5"/>
  <c r="O7" i="3" s="1"/>
  <c r="A8" i="7"/>
  <c r="V8" i="3" s="1"/>
  <c r="A7" i="9"/>
  <c r="AU3" i="3" l="1"/>
  <c r="AL7" i="3"/>
  <c r="AN7" i="3"/>
  <c r="A8" i="11"/>
  <c r="AL8" i="3" s="1"/>
  <c r="AM7" i="3"/>
  <c r="AJ10" i="3"/>
  <c r="AK10" i="3"/>
  <c r="AF10" i="3"/>
  <c r="AB10" i="3"/>
  <c r="AD10" i="3"/>
  <c r="AH10" i="3"/>
  <c r="AE10" i="3"/>
  <c r="AI10" i="3"/>
  <c r="AC10" i="3"/>
  <c r="AG10" i="3"/>
  <c r="AT10" i="3"/>
  <c r="AS10" i="3"/>
  <c r="N8" i="13"/>
  <c r="AV5" i="3" s="1"/>
  <c r="N7" i="13"/>
  <c r="AV4" i="3" s="1"/>
  <c r="A21" i="13"/>
  <c r="AP7" i="3"/>
  <c r="AQ7" i="3"/>
  <c r="AR7" i="3"/>
  <c r="AN8" i="3"/>
  <c r="AM8" i="3"/>
  <c r="AO8" i="3"/>
  <c r="A43" i="10"/>
  <c r="AI51" i="3"/>
  <c r="AJ47" i="3"/>
  <c r="AJ49" i="3"/>
  <c r="AI50" i="3"/>
  <c r="AI47" i="3"/>
  <c r="AK49" i="3"/>
  <c r="AK47" i="3"/>
  <c r="AK51" i="3"/>
  <c r="Z7" i="3"/>
  <c r="W8" i="3"/>
  <c r="Y8" i="3"/>
  <c r="X8" i="3"/>
  <c r="A8" i="6"/>
  <c r="R7" i="3"/>
  <c r="U7" i="3"/>
  <c r="T7" i="3"/>
  <c r="Q7" i="3"/>
  <c r="S7" i="3"/>
  <c r="P7" i="3"/>
  <c r="L7" i="3"/>
  <c r="N7" i="3"/>
  <c r="M7" i="3"/>
  <c r="K7" i="3"/>
  <c r="A8" i="12"/>
  <c r="A8" i="8"/>
  <c r="Z8" i="3" s="1"/>
  <c r="A9" i="11"/>
  <c r="A9" i="7"/>
  <c r="A8" i="5"/>
  <c r="A8" i="10"/>
  <c r="A12" i="4"/>
  <c r="A11" i="3"/>
  <c r="A8" i="9"/>
  <c r="AD11" i="3" l="1"/>
  <c r="AJ11" i="3"/>
  <c r="AK11" i="3"/>
  <c r="AF11" i="3"/>
  <c r="AE11" i="3"/>
  <c r="AH11" i="3"/>
  <c r="AB11" i="3"/>
  <c r="AI11" i="3"/>
  <c r="AC11" i="3"/>
  <c r="AG11" i="3"/>
  <c r="AT11" i="3"/>
  <c r="AS11" i="3"/>
  <c r="AU11" i="3"/>
  <c r="AV11" i="3"/>
  <c r="A22" i="13"/>
  <c r="AP8" i="3"/>
  <c r="AR8" i="3"/>
  <c r="AQ8" i="3"/>
  <c r="AL9" i="3"/>
  <c r="AM9" i="3"/>
  <c r="AO9" i="3"/>
  <c r="AN9" i="3"/>
  <c r="AI46" i="3"/>
  <c r="AJ50" i="3"/>
  <c r="AJ46" i="3"/>
  <c r="AI48" i="3"/>
  <c r="AH46" i="3"/>
  <c r="AK46" i="3"/>
  <c r="AK48" i="3"/>
  <c r="AJ51" i="3"/>
  <c r="AI49" i="3"/>
  <c r="AH49" i="3"/>
  <c r="AH47" i="3"/>
  <c r="AJ48" i="3"/>
  <c r="AK50" i="3"/>
  <c r="AH48" i="3"/>
  <c r="AH51" i="3"/>
  <c r="AH50" i="3"/>
  <c r="A9" i="8"/>
  <c r="W9" i="3"/>
  <c r="V9" i="3"/>
  <c r="Y9" i="3"/>
  <c r="X9" i="3"/>
  <c r="Q8" i="3"/>
  <c r="A9" i="6"/>
  <c r="A10" i="6" s="1"/>
  <c r="S8" i="3"/>
  <c r="P8" i="3"/>
  <c r="R8" i="3"/>
  <c r="T8" i="3"/>
  <c r="U8" i="3"/>
  <c r="K8" i="3"/>
  <c r="M8" i="3"/>
  <c r="L8" i="3"/>
  <c r="N8" i="3"/>
  <c r="O8" i="3"/>
  <c r="A9" i="12"/>
  <c r="A9" i="9"/>
  <c r="A10" i="7"/>
  <c r="Y10" i="3" s="1"/>
  <c r="A12" i="3"/>
  <c r="A13" i="4"/>
  <c r="A9" i="5"/>
  <c r="A10" i="11"/>
  <c r="AN10" i="3" s="1"/>
  <c r="A9" i="10"/>
  <c r="W10" i="3" l="1"/>
  <c r="V10" i="3"/>
  <c r="AE12" i="3"/>
  <c r="AK12" i="3"/>
  <c r="AF12" i="3"/>
  <c r="AJ12" i="3"/>
  <c r="AB12" i="3"/>
  <c r="AC12" i="3"/>
  <c r="AH12" i="3"/>
  <c r="AD12" i="3"/>
  <c r="AI12" i="3"/>
  <c r="AG12" i="3"/>
  <c r="AS12" i="3"/>
  <c r="AU12" i="3"/>
  <c r="AT12" i="3"/>
  <c r="AV12" i="3"/>
  <c r="A23" i="13"/>
  <c r="AP9" i="3"/>
  <c r="AM10" i="3"/>
  <c r="AL10" i="3"/>
  <c r="A10" i="8"/>
  <c r="X10" i="3"/>
  <c r="U10" i="3"/>
  <c r="Q10" i="3"/>
  <c r="Q9" i="3"/>
  <c r="L9" i="3"/>
  <c r="M9" i="3"/>
  <c r="O9" i="3"/>
  <c r="K9" i="3"/>
  <c r="A10" i="12"/>
  <c r="A11" i="7"/>
  <c r="A10" i="9"/>
  <c r="A10" i="5"/>
  <c r="A11" i="6"/>
  <c r="S11" i="3" s="1"/>
  <c r="A10" i="10"/>
  <c r="A13" i="3"/>
  <c r="A14" i="4"/>
  <c r="A11" i="11"/>
  <c r="AC13" i="3" l="1"/>
  <c r="AD13" i="3"/>
  <c r="AE13" i="3"/>
  <c r="AK13" i="3"/>
  <c r="AF13" i="3"/>
  <c r="AJ13" i="3"/>
  <c r="AB13" i="3"/>
  <c r="AH13" i="3"/>
  <c r="AI13" i="3"/>
  <c r="AG13" i="3"/>
  <c r="AT13" i="3"/>
  <c r="AS13" i="3"/>
  <c r="AU13" i="3"/>
  <c r="AV13" i="3"/>
  <c r="A24" i="13"/>
  <c r="AR10" i="3"/>
  <c r="AP10" i="3"/>
  <c r="AM11" i="3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W11" i="3"/>
  <c r="V11" i="3"/>
  <c r="A11" i="12"/>
  <c r="A12" i="11"/>
  <c r="A11" i="10"/>
  <c r="A15" i="4"/>
  <c r="A14" i="3"/>
  <c r="A12" i="7"/>
  <c r="X12" i="3" s="1"/>
  <c r="A12" i="6"/>
  <c r="A11" i="9"/>
  <c r="A11" i="5"/>
  <c r="W12" i="3" l="1"/>
  <c r="AI14" i="3"/>
  <c r="AC14" i="3"/>
  <c r="AG14" i="3"/>
  <c r="AE14" i="3"/>
  <c r="AF14" i="3"/>
  <c r="AD14" i="3"/>
  <c r="AK14" i="3"/>
  <c r="AB14" i="3"/>
  <c r="AH14" i="3"/>
  <c r="AJ14" i="3"/>
  <c r="AT14" i="3"/>
  <c r="AS14" i="3"/>
  <c r="AU14" i="3"/>
  <c r="AV14" i="3"/>
  <c r="Z11" i="3"/>
  <c r="A37" i="8"/>
  <c r="Z12" i="3"/>
  <c r="AA11" i="3"/>
  <c r="A25" i="13"/>
  <c r="AM12" i="3"/>
  <c r="AA12" i="3"/>
  <c r="Z14" i="3"/>
  <c r="Z10" i="3"/>
  <c r="AA9" i="3"/>
  <c r="AA8" i="3"/>
  <c r="Z9" i="3"/>
  <c r="AA14" i="3"/>
  <c r="AA10" i="3"/>
  <c r="AA13" i="3"/>
  <c r="Z13" i="3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12" i="12"/>
  <c r="A12" i="10"/>
  <c r="A12" i="9"/>
  <c r="A16" i="4"/>
  <c r="A15" i="3"/>
  <c r="A13" i="7"/>
  <c r="A13" i="11"/>
  <c r="A12" i="5"/>
  <c r="AC15" i="3" l="1"/>
  <c r="AI15" i="3"/>
  <c r="AE15" i="3"/>
  <c r="AJ15" i="3"/>
  <c r="AD15" i="3"/>
  <c r="AK15" i="3"/>
  <c r="AF15" i="3"/>
  <c r="AB15" i="3"/>
  <c r="AH15" i="3"/>
  <c r="AG15" i="3"/>
  <c r="AV15" i="3"/>
  <c r="AT15" i="3"/>
  <c r="AS15" i="3"/>
  <c r="AU15" i="3"/>
  <c r="Z15" i="3"/>
  <c r="AA15" i="3"/>
  <c r="A38" i="8"/>
  <c r="A26" i="13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R9" i="3"/>
  <c r="Q15" i="3"/>
  <c r="Q11" i="3"/>
  <c r="S12" i="3"/>
  <c r="U15" i="3"/>
  <c r="U14" i="3"/>
  <c r="P12" i="3"/>
  <c r="R12" i="3"/>
  <c r="T12" i="3"/>
  <c r="U13" i="3"/>
  <c r="U11" i="3"/>
  <c r="Q13" i="3"/>
  <c r="R14" i="3"/>
  <c r="P13" i="3"/>
  <c r="R11" i="3"/>
  <c r="S13" i="3"/>
  <c r="T14" i="3"/>
  <c r="S10" i="3"/>
  <c r="P14" i="3"/>
  <c r="U9" i="3"/>
  <c r="T13" i="3"/>
  <c r="P10" i="3"/>
  <c r="P9" i="3"/>
  <c r="U16" i="3"/>
  <c r="S15" i="3"/>
  <c r="U12" i="3"/>
  <c r="R10" i="3"/>
  <c r="S16" i="3"/>
  <c r="T9" i="3"/>
  <c r="R13" i="3"/>
  <c r="P15" i="3"/>
  <c r="Q16" i="3"/>
  <c r="T11" i="3"/>
  <c r="S9" i="3"/>
  <c r="T10" i="3"/>
  <c r="Q12" i="3"/>
  <c r="Q14" i="3"/>
  <c r="P11" i="3"/>
  <c r="T15" i="3"/>
  <c r="R15" i="3"/>
  <c r="S14" i="3"/>
  <c r="P16" i="3"/>
  <c r="A13" i="12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14" i="7"/>
  <c r="A17" i="4"/>
  <c r="A16" i="3"/>
  <c r="A13" i="10"/>
  <c r="A14" i="11"/>
  <c r="A13" i="9"/>
  <c r="AI16" i="3" l="1"/>
  <c r="AJ16" i="3"/>
  <c r="AG16" i="3"/>
  <c r="AE16" i="3"/>
  <c r="AF16" i="3"/>
  <c r="AC16" i="3"/>
  <c r="AD16" i="3"/>
  <c r="AK16" i="3"/>
  <c r="AB16" i="3"/>
  <c r="AH16" i="3"/>
  <c r="AS16" i="3"/>
  <c r="AT16" i="3"/>
  <c r="AV16" i="3"/>
  <c r="AU16" i="3"/>
  <c r="AA16" i="3"/>
  <c r="Z16" i="3"/>
  <c r="R16" i="3"/>
  <c r="T16" i="3"/>
  <c r="A39" i="8"/>
  <c r="AU47" i="3"/>
  <c r="AS46" i="3"/>
  <c r="AV48" i="3"/>
  <c r="AV47" i="3"/>
  <c r="AS50" i="3"/>
  <c r="AU48" i="3"/>
  <c r="AS51" i="3"/>
  <c r="AT51" i="3"/>
  <c r="AU50" i="3"/>
  <c r="AT49" i="3"/>
  <c r="AV46" i="3"/>
  <c r="AV50" i="3"/>
  <c r="AS49" i="3"/>
  <c r="AT46" i="3"/>
  <c r="AU46" i="3"/>
  <c r="AU49" i="3"/>
  <c r="AT47" i="3"/>
  <c r="AV49" i="3"/>
  <c r="AS48" i="3"/>
  <c r="AT48" i="3"/>
  <c r="AU51" i="3"/>
  <c r="AT50" i="3"/>
  <c r="AV51" i="3"/>
  <c r="AS47" i="3"/>
  <c r="L15" i="3"/>
  <c r="O10" i="3"/>
  <c r="L12" i="3"/>
  <c r="K16" i="3"/>
  <c r="K15" i="3"/>
  <c r="O13" i="3"/>
  <c r="N9" i="3"/>
  <c r="O12" i="3"/>
  <c r="O16" i="3"/>
  <c r="M12" i="3"/>
  <c r="M10" i="3"/>
  <c r="K14" i="3"/>
  <c r="N16" i="3"/>
  <c r="M11" i="3"/>
  <c r="L11" i="3"/>
  <c r="L10" i="3"/>
  <c r="L13" i="3"/>
  <c r="K13" i="3"/>
  <c r="M15" i="3"/>
  <c r="K12" i="3"/>
  <c r="K11" i="3"/>
  <c r="O11" i="3"/>
  <c r="L16" i="3"/>
  <c r="N11" i="3"/>
  <c r="K10" i="3"/>
  <c r="O14" i="3"/>
  <c r="N10" i="3"/>
  <c r="N15" i="3"/>
  <c r="M14" i="3"/>
  <c r="M16" i="3"/>
  <c r="M13" i="3"/>
  <c r="N14" i="3"/>
  <c r="L14" i="3"/>
  <c r="N12" i="3"/>
  <c r="O15" i="3"/>
  <c r="N13" i="3"/>
  <c r="A14" i="12"/>
  <c r="A18" i="4"/>
  <c r="A17" i="3"/>
  <c r="M17" i="3" s="1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15" i="11"/>
  <c r="A15" i="7"/>
  <c r="A14" i="10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N17" i="3" l="1"/>
  <c r="L17" i="3"/>
  <c r="O17" i="3"/>
  <c r="K17" i="3"/>
  <c r="AH17" i="3"/>
  <c r="AC17" i="3"/>
  <c r="AD17" i="3"/>
  <c r="AJ17" i="3"/>
  <c r="AE17" i="3"/>
  <c r="AI17" i="3"/>
  <c r="AK17" i="3"/>
  <c r="AF17" i="3"/>
  <c r="AB17" i="3"/>
  <c r="AG17" i="3"/>
  <c r="AV17" i="3"/>
  <c r="AT17" i="3"/>
  <c r="AU17" i="3"/>
  <c r="AS17" i="3"/>
  <c r="Z17" i="3"/>
  <c r="AA17" i="3"/>
  <c r="T17" i="3"/>
  <c r="P17" i="3"/>
  <c r="R17" i="3"/>
  <c r="U17" i="3"/>
  <c r="Q17" i="3"/>
  <c r="S17" i="3"/>
  <c r="A40" i="8"/>
  <c r="A15" i="12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16" i="11"/>
  <c r="A18" i="3"/>
  <c r="A19" i="4"/>
  <c r="AC18" i="3" l="1"/>
  <c r="AJ18" i="3"/>
  <c r="AH18" i="3"/>
  <c r="AD18" i="3"/>
  <c r="AI18" i="3"/>
  <c r="AG18" i="3"/>
  <c r="AE18" i="3"/>
  <c r="AK18" i="3"/>
  <c r="AB18" i="3"/>
  <c r="AF18" i="3"/>
  <c r="AV18" i="3"/>
  <c r="AT18" i="3"/>
  <c r="AU18" i="3"/>
  <c r="AS18" i="3"/>
  <c r="Z18" i="3"/>
  <c r="AA18" i="3"/>
  <c r="R18" i="3"/>
  <c r="U18" i="3"/>
  <c r="P18" i="3"/>
  <c r="S18" i="3"/>
  <c r="Q18" i="3"/>
  <c r="T18" i="3"/>
  <c r="K18" i="3"/>
  <c r="N18" i="3"/>
  <c r="M18" i="3"/>
  <c r="L18" i="3"/>
  <c r="O18" i="3"/>
  <c r="A41" i="8"/>
  <c r="V18" i="3"/>
  <c r="Y11" i="3"/>
  <c r="V16" i="3"/>
  <c r="W14" i="3"/>
  <c r="X13" i="3"/>
  <c r="W13" i="3"/>
  <c r="W17" i="3"/>
  <c r="W18" i="3"/>
  <c r="V14" i="3"/>
  <c r="V13" i="3"/>
  <c r="X11" i="3"/>
  <c r="X17" i="3"/>
  <c r="Y14" i="3"/>
  <c r="Y16" i="3"/>
  <c r="V15" i="3"/>
  <c r="Y17" i="3"/>
  <c r="Y12" i="3"/>
  <c r="X15" i="3"/>
  <c r="W16" i="3"/>
  <c r="X16" i="3"/>
  <c r="V19" i="3"/>
  <c r="W15" i="3"/>
  <c r="X18" i="3"/>
  <c r="V17" i="3"/>
  <c r="V12" i="3"/>
  <c r="Y18" i="3"/>
  <c r="Y13" i="3"/>
  <c r="Y15" i="3"/>
  <c r="X14" i="3"/>
  <c r="A16" i="12"/>
  <c r="A19" i="3"/>
  <c r="Y19" i="3" s="1"/>
  <c r="A20" i="4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l="1"/>
  <c r="A44" i="11" s="1"/>
  <c r="A45" i="11" s="1"/>
  <c r="A46" i="11" s="1"/>
  <c r="W19" i="3"/>
  <c r="X19" i="3"/>
  <c r="AB19" i="3"/>
  <c r="AH19" i="3"/>
  <c r="AD19" i="3"/>
  <c r="AG19" i="3"/>
  <c r="AJ19" i="3"/>
  <c r="AE19" i="3"/>
  <c r="AC19" i="3"/>
  <c r="AI19" i="3"/>
  <c r="AK19" i="3"/>
  <c r="AF19" i="3"/>
  <c r="AS19" i="3"/>
  <c r="AU19" i="3"/>
  <c r="AT19" i="3"/>
  <c r="Z19" i="3"/>
  <c r="AA19" i="3"/>
  <c r="U19" i="3"/>
  <c r="R19" i="3"/>
  <c r="P19" i="3"/>
  <c r="T19" i="3"/>
  <c r="S19" i="3"/>
  <c r="Q19" i="3"/>
  <c r="M19" i="3"/>
  <c r="O19" i="3"/>
  <c r="AV19" i="3"/>
  <c r="K19" i="3"/>
  <c r="N19" i="3"/>
  <c r="L19" i="3"/>
  <c r="A42" i="8"/>
  <c r="AO14" i="3"/>
  <c r="AL16" i="3"/>
  <c r="AM16" i="3"/>
  <c r="AM18" i="3"/>
  <c r="AN14" i="3"/>
  <c r="AL18" i="3"/>
  <c r="AL17" i="3"/>
  <c r="AN20" i="3"/>
  <c r="AL13" i="3"/>
  <c r="AL12" i="3"/>
  <c r="AL11" i="3"/>
  <c r="AO11" i="3"/>
  <c r="AO18" i="3"/>
  <c r="AO19" i="3"/>
  <c r="AL15" i="3"/>
  <c r="AN11" i="3"/>
  <c r="AM17" i="3"/>
  <c r="AO10" i="3"/>
  <c r="AO17" i="3"/>
  <c r="AO20" i="3"/>
  <c r="AL19" i="3"/>
  <c r="AN18" i="3"/>
  <c r="AO15" i="3"/>
  <c r="AM15" i="3"/>
  <c r="AN12" i="3"/>
  <c r="AO16" i="3"/>
  <c r="AM14" i="3"/>
  <c r="AN15" i="3"/>
  <c r="AO12" i="3"/>
  <c r="AN13" i="3"/>
  <c r="AM19" i="3"/>
  <c r="AO13" i="3"/>
  <c r="AN17" i="3"/>
  <c r="AN16" i="3"/>
  <c r="AL14" i="3"/>
  <c r="AN19" i="3"/>
  <c r="AM13" i="3"/>
  <c r="A17" i="12"/>
  <c r="A21" i="4"/>
  <c r="A20" i="3"/>
  <c r="AL20" i="3" s="1"/>
  <c r="A47" i="11" l="1"/>
  <c r="A48" i="11" s="1"/>
  <c r="A49" i="11" s="1"/>
  <c r="A50" i="11" s="1"/>
  <c r="A51" i="11" s="1"/>
  <c r="A52" i="11" s="1"/>
  <c r="A53" i="11" s="1"/>
  <c r="A54" i="11" s="1"/>
  <c r="AM47" i="3"/>
  <c r="AL47" i="3"/>
  <c r="AM46" i="3"/>
  <c r="AM51" i="3"/>
  <c r="AL48" i="3"/>
  <c r="AL46" i="3"/>
  <c r="AN49" i="3"/>
  <c r="AN48" i="3"/>
  <c r="AO46" i="3"/>
  <c r="AO49" i="3"/>
  <c r="AL51" i="3"/>
  <c r="AM48" i="3"/>
  <c r="AL49" i="3"/>
  <c r="AM50" i="3"/>
  <c r="AN46" i="3"/>
  <c r="AN51" i="3"/>
  <c r="AN47" i="3"/>
  <c r="AO47" i="3"/>
  <c r="AO48" i="3"/>
  <c r="AM49" i="3"/>
  <c r="AN50" i="3"/>
  <c r="AL50" i="3"/>
  <c r="AO50" i="3"/>
  <c r="AO51" i="3"/>
  <c r="AB20" i="3"/>
  <c r="AD20" i="3"/>
  <c r="AC20" i="3"/>
  <c r="AJ20" i="3"/>
  <c r="AH20" i="3"/>
  <c r="AI20" i="3"/>
  <c r="AG20" i="3"/>
  <c r="AE20" i="3"/>
  <c r="AK20" i="3"/>
  <c r="AF20" i="3"/>
  <c r="AS20" i="3"/>
  <c r="AT20" i="3"/>
  <c r="Z20" i="3"/>
  <c r="AA20" i="3"/>
  <c r="P20" i="3"/>
  <c r="T20" i="3"/>
  <c r="Q20" i="3"/>
  <c r="R20" i="3"/>
  <c r="S20" i="3"/>
  <c r="AU20" i="3"/>
  <c r="M20" i="3"/>
  <c r="O20" i="3"/>
  <c r="K20" i="3"/>
  <c r="AV20" i="3"/>
  <c r="N20" i="3"/>
  <c r="L20" i="3"/>
  <c r="X20" i="3"/>
  <c r="Y20" i="3"/>
  <c r="V20" i="3"/>
  <c r="W20" i="3"/>
  <c r="AM20" i="3"/>
  <c r="A43" i="8"/>
  <c r="A44" i="8" s="1"/>
  <c r="A45" i="8" s="1"/>
  <c r="A46" i="8" s="1"/>
  <c r="A47" i="8" s="1"/>
  <c r="A48" i="8" s="1"/>
  <c r="A18" i="12"/>
  <c r="A22" i="4"/>
  <c r="A21" i="3"/>
  <c r="AI21" i="3" l="1"/>
  <c r="AC21" i="3"/>
  <c r="AD21" i="3"/>
  <c r="AF21" i="3"/>
  <c r="AB21" i="3"/>
  <c r="AJ21" i="3"/>
  <c r="AH21" i="3"/>
  <c r="AE21" i="3"/>
  <c r="AK21" i="3"/>
  <c r="AG21" i="3"/>
  <c r="AT21" i="3"/>
  <c r="AS21" i="3"/>
  <c r="AA21" i="3"/>
  <c r="Z21" i="3"/>
  <c r="R21" i="3"/>
  <c r="T21" i="3"/>
  <c r="Q21" i="3"/>
  <c r="S21" i="3"/>
  <c r="P21" i="3"/>
  <c r="AV21" i="3"/>
  <c r="M21" i="3"/>
  <c r="N21" i="3"/>
  <c r="O21" i="3"/>
  <c r="L21" i="3"/>
  <c r="K21" i="3"/>
  <c r="AU21" i="3"/>
  <c r="X21" i="3"/>
  <c r="Y21" i="3"/>
  <c r="V21" i="3"/>
  <c r="W21" i="3"/>
  <c r="AO21" i="3"/>
  <c r="AN21" i="3"/>
  <c r="AL21" i="3"/>
  <c r="AM21" i="3"/>
  <c r="A19" i="12"/>
  <c r="A23" i="4"/>
  <c r="A22" i="3"/>
  <c r="AK22" i="3" l="1"/>
  <c r="AF22" i="3"/>
  <c r="AI22" i="3"/>
  <c r="AC22" i="3"/>
  <c r="AD22" i="3"/>
  <c r="AJ22" i="3"/>
  <c r="AH22" i="3"/>
  <c r="AB22" i="3"/>
  <c r="AE22" i="3"/>
  <c r="AG22" i="3"/>
  <c r="AA22" i="3"/>
  <c r="Z22" i="3"/>
  <c r="S22" i="3"/>
  <c r="Q22" i="3"/>
  <c r="P22" i="3"/>
  <c r="T22" i="3"/>
  <c r="R22" i="3"/>
  <c r="AV22" i="3"/>
  <c r="N22" i="3"/>
  <c r="K22" i="3"/>
  <c r="AT22" i="3"/>
  <c r="AU22" i="3"/>
  <c r="M22" i="3"/>
  <c r="L22" i="3"/>
  <c r="AS22" i="3"/>
  <c r="O22" i="3"/>
  <c r="W22" i="3"/>
  <c r="X22" i="3"/>
  <c r="Y22" i="3"/>
  <c r="V22" i="3"/>
  <c r="AL22" i="3"/>
  <c r="AN22" i="3"/>
  <c r="AO22" i="3"/>
  <c r="AM22" i="3"/>
  <c r="A20" i="12"/>
  <c r="A24" i="4"/>
  <c r="A23" i="3"/>
  <c r="AK23" i="3" l="1"/>
  <c r="AI23" i="3"/>
  <c r="AJ23" i="3"/>
  <c r="AH23" i="3"/>
  <c r="R23" i="3"/>
  <c r="S23" i="3"/>
  <c r="P23" i="3"/>
  <c r="Q23" i="3"/>
  <c r="K23" i="3"/>
  <c r="N23" i="3"/>
  <c r="M23" i="3"/>
  <c r="AV23" i="3"/>
  <c r="L23" i="3"/>
  <c r="O23" i="3"/>
  <c r="AT23" i="3"/>
  <c r="AU23" i="3"/>
  <c r="AS23" i="3"/>
  <c r="AN23" i="3"/>
  <c r="AL23" i="3"/>
  <c r="AM23" i="3"/>
  <c r="AO23" i="3"/>
  <c r="A21" i="12"/>
  <c r="A24" i="3"/>
  <c r="A25" i="4"/>
  <c r="AK24" i="3" l="1"/>
  <c r="AH24" i="3"/>
  <c r="AI24" i="3"/>
  <c r="AJ24" i="3"/>
  <c r="R24" i="3"/>
  <c r="P24" i="3"/>
  <c r="Q24" i="3"/>
  <c r="S24" i="3"/>
  <c r="M24" i="3"/>
  <c r="AS24" i="3"/>
  <c r="AT24" i="3"/>
  <c r="O24" i="3"/>
  <c r="AV24" i="3"/>
  <c r="L24" i="3"/>
  <c r="K24" i="3"/>
  <c r="AU24" i="3"/>
  <c r="N24" i="3"/>
  <c r="AM24" i="3"/>
  <c r="AN24" i="3"/>
  <c r="AL24" i="3"/>
  <c r="AO24" i="3"/>
  <c r="A22" i="12"/>
  <c r="A26" i="4"/>
  <c r="A25" i="3"/>
  <c r="AH25" i="3" l="1"/>
  <c r="AI25" i="3"/>
  <c r="AK25" i="3"/>
  <c r="AJ25" i="3"/>
  <c r="S25" i="3"/>
  <c r="R25" i="3"/>
  <c r="AV25" i="3"/>
  <c r="P25" i="3"/>
  <c r="Q25" i="3"/>
  <c r="AU25" i="3"/>
  <c r="AT25" i="3"/>
  <c r="AS25" i="3"/>
  <c r="L25" i="3"/>
  <c r="M25" i="3"/>
  <c r="N25" i="3"/>
  <c r="K25" i="3"/>
  <c r="O25" i="3"/>
  <c r="AN25" i="3"/>
  <c r="AL25" i="3"/>
  <c r="AM25" i="3"/>
  <c r="AO25" i="3"/>
  <c r="A23" i="12"/>
  <c r="A26" i="3"/>
  <c r="A27" i="4"/>
  <c r="AH26" i="3" l="1"/>
  <c r="AK26" i="3"/>
  <c r="AI26" i="3"/>
  <c r="AJ26" i="3"/>
  <c r="P26" i="3"/>
  <c r="Q26" i="3"/>
  <c r="S26" i="3"/>
  <c r="R26" i="3"/>
  <c r="O26" i="3"/>
  <c r="N26" i="3"/>
  <c r="K26" i="3"/>
  <c r="AT26" i="3"/>
  <c r="M26" i="3"/>
  <c r="AS26" i="3"/>
  <c r="AU26" i="3"/>
  <c r="L26" i="3"/>
  <c r="AV26" i="3"/>
  <c r="AL26" i="3"/>
  <c r="AN26" i="3"/>
  <c r="AO26" i="3"/>
  <c r="AM26" i="3"/>
  <c r="A24" i="12"/>
  <c r="A27" i="3"/>
  <c r="A28" i="4"/>
  <c r="AH27" i="3" l="1"/>
  <c r="AJ27" i="3"/>
  <c r="AI27" i="3"/>
  <c r="AK27" i="3"/>
  <c r="AT27" i="3"/>
  <c r="R27" i="3"/>
  <c r="P27" i="3"/>
  <c r="AU27" i="3"/>
  <c r="Q27" i="3"/>
  <c r="S27" i="3"/>
  <c r="M27" i="3"/>
  <c r="K27" i="3"/>
  <c r="O27" i="3"/>
  <c r="AS27" i="3"/>
  <c r="N27" i="3"/>
  <c r="L27" i="3"/>
  <c r="AV27" i="3"/>
  <c r="AN27" i="3"/>
  <c r="AL27" i="3"/>
  <c r="AM27" i="3"/>
  <c r="AO27" i="3"/>
  <c r="A25" i="12"/>
  <c r="A29" i="4"/>
  <c r="A28" i="3"/>
  <c r="AJ28" i="3" l="1"/>
  <c r="AH28" i="3"/>
  <c r="AI28" i="3"/>
  <c r="AK28" i="3"/>
  <c r="AT28" i="3"/>
  <c r="Q28" i="3"/>
  <c r="R28" i="3"/>
  <c r="P28" i="3"/>
  <c r="S28" i="3"/>
  <c r="M28" i="3"/>
  <c r="O28" i="3"/>
  <c r="AV28" i="3"/>
  <c r="AS28" i="3"/>
  <c r="AU28" i="3"/>
  <c r="K28" i="3"/>
  <c r="N28" i="3"/>
  <c r="L28" i="3"/>
  <c r="AM28" i="3"/>
  <c r="AO28" i="3"/>
  <c r="AL28" i="3"/>
  <c r="AN28" i="3"/>
  <c r="A26" i="12"/>
  <c r="A29" i="3"/>
  <c r="A30" i="4"/>
  <c r="AJ29" i="3" l="1"/>
  <c r="AH29" i="3"/>
  <c r="AI29" i="3"/>
  <c r="AK29" i="3"/>
  <c r="Q29" i="3"/>
  <c r="P29" i="3"/>
  <c r="AS29" i="3"/>
  <c r="S29" i="3"/>
  <c r="R29" i="3"/>
  <c r="AU29" i="3"/>
  <c r="AV29" i="3"/>
  <c r="AT29" i="3"/>
  <c r="O29" i="3"/>
  <c r="K29" i="3"/>
  <c r="M29" i="3"/>
  <c r="N29" i="3"/>
  <c r="L29" i="3"/>
  <c r="AO29" i="3"/>
  <c r="AM29" i="3"/>
  <c r="AN29" i="3"/>
  <c r="AL29" i="3"/>
  <c r="A27" i="12"/>
  <c r="A31" i="4"/>
  <c r="A30" i="3"/>
  <c r="AJ30" i="3" l="1"/>
  <c r="AK30" i="3"/>
  <c r="AH30" i="3"/>
  <c r="AI30" i="3"/>
  <c r="Q30" i="3"/>
  <c r="S30" i="3"/>
  <c r="R30" i="3"/>
  <c r="P30" i="3"/>
  <c r="K30" i="3"/>
  <c r="AS30" i="3"/>
  <c r="L30" i="3"/>
  <c r="O30" i="3"/>
  <c r="N30" i="3"/>
  <c r="AU30" i="3"/>
  <c r="AT30" i="3"/>
  <c r="M30" i="3"/>
  <c r="AV30" i="3"/>
  <c r="AL30" i="3"/>
  <c r="AN30" i="3"/>
  <c r="AO30" i="3"/>
  <c r="AM30" i="3"/>
  <c r="A28" i="12"/>
  <c r="A31" i="3"/>
  <c r="A32" i="4"/>
  <c r="AK31" i="3" l="1"/>
  <c r="AJ31" i="3"/>
  <c r="AH31" i="3"/>
  <c r="AI31" i="3"/>
  <c r="R31" i="3"/>
  <c r="Q31" i="3"/>
  <c r="S31" i="3"/>
  <c r="P31" i="3"/>
  <c r="M31" i="3"/>
  <c r="AT31" i="3"/>
  <c r="AS31" i="3"/>
  <c r="K31" i="3"/>
  <c r="L31" i="3"/>
  <c r="AV31" i="3"/>
  <c r="AU31" i="3"/>
  <c r="O31" i="3"/>
  <c r="N31" i="3"/>
  <c r="AN31" i="3"/>
  <c r="AM31" i="3"/>
  <c r="AL31" i="3"/>
  <c r="AO31" i="3"/>
  <c r="A29" i="12"/>
  <c r="A32" i="3"/>
  <c r="A33" i="4"/>
  <c r="AK32" i="3" l="1"/>
  <c r="AH32" i="3"/>
  <c r="AJ32" i="3"/>
  <c r="AI32" i="3"/>
  <c r="Q32" i="3"/>
  <c r="P32" i="3"/>
  <c r="S32" i="3"/>
  <c r="R32" i="3"/>
  <c r="AV32" i="3"/>
  <c r="N32" i="3"/>
  <c r="L32" i="3"/>
  <c r="AU32" i="3"/>
  <c r="AT32" i="3"/>
  <c r="K32" i="3"/>
  <c r="AS32" i="3"/>
  <c r="O32" i="3"/>
  <c r="M32" i="3"/>
  <c r="AO32" i="3"/>
  <c r="AN32" i="3"/>
  <c r="AL32" i="3"/>
  <c r="AM32" i="3"/>
  <c r="A30" i="12"/>
  <c r="A33" i="3"/>
  <c r="A34" i="4"/>
  <c r="AJ33" i="3" l="1"/>
  <c r="AK33" i="3"/>
  <c r="AI33" i="3"/>
  <c r="AH33" i="3"/>
  <c r="AV33" i="3"/>
  <c r="R33" i="3"/>
  <c r="S33" i="3"/>
  <c r="Q33" i="3"/>
  <c r="P33" i="3"/>
  <c r="O33" i="3"/>
  <c r="N33" i="3"/>
  <c r="AU33" i="3"/>
  <c r="M33" i="3"/>
  <c r="AT33" i="3"/>
  <c r="AS33" i="3"/>
  <c r="AN33" i="3"/>
  <c r="AM33" i="3"/>
  <c r="AO33" i="3"/>
  <c r="AL33" i="3"/>
  <c r="A31" i="12"/>
  <c r="A35" i="4"/>
  <c r="A34" i="3"/>
  <c r="AI34" i="3" l="1"/>
  <c r="AK34" i="3"/>
  <c r="AH34" i="3"/>
  <c r="AJ34" i="3"/>
  <c r="AV34" i="3"/>
  <c r="AU34" i="3"/>
  <c r="AS34" i="3"/>
  <c r="AT34" i="3"/>
  <c r="AM34" i="3"/>
  <c r="AL34" i="3"/>
  <c r="AN34" i="3"/>
  <c r="AO34" i="3"/>
  <c r="A32" i="12"/>
  <c r="A35" i="3"/>
  <c r="A36" i="4"/>
  <c r="A37" i="4" l="1"/>
  <c r="A36" i="3"/>
  <c r="AI35" i="3"/>
  <c r="AJ35" i="3"/>
  <c r="AK35" i="3"/>
  <c r="AH35" i="3"/>
  <c r="AU35" i="3"/>
  <c r="AV35" i="3"/>
  <c r="AT35" i="3"/>
  <c r="AS35" i="3"/>
  <c r="AM35" i="3"/>
  <c r="AL35" i="3"/>
  <c r="AN35" i="3"/>
  <c r="AO35" i="3"/>
  <c r="A33" i="12"/>
  <c r="AI36" i="3" l="1"/>
  <c r="AK36" i="3"/>
  <c r="AH36" i="3"/>
  <c r="AJ36" i="3"/>
  <c r="AS36" i="3"/>
  <c r="AV36" i="3"/>
  <c r="AU36" i="3"/>
  <c r="AT36" i="3"/>
  <c r="AL36" i="3"/>
  <c r="AN36" i="3"/>
  <c r="AO36" i="3"/>
  <c r="AM36" i="3"/>
  <c r="A38" i="4"/>
  <c r="A37" i="3"/>
  <c r="A34" i="12"/>
  <c r="A39" i="4" l="1"/>
  <c r="A38" i="3"/>
  <c r="AI37" i="3"/>
  <c r="AH37" i="3"/>
  <c r="AJ37" i="3"/>
  <c r="AK37" i="3"/>
  <c r="AU37" i="3"/>
  <c r="AS37" i="3"/>
  <c r="AV37" i="3"/>
  <c r="AT37" i="3"/>
  <c r="AN37" i="3"/>
  <c r="AO37" i="3"/>
  <c r="AM37" i="3"/>
  <c r="AL37" i="3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H38" i="3" l="1"/>
  <c r="AI38" i="3"/>
  <c r="AK38" i="3"/>
  <c r="AJ38" i="3"/>
  <c r="AS38" i="3"/>
  <c r="AV38" i="3"/>
  <c r="AT38" i="3"/>
  <c r="AU38" i="3"/>
  <c r="AM38" i="3"/>
  <c r="AL38" i="3"/>
  <c r="AO38" i="3"/>
  <c r="AN38" i="3"/>
  <c r="A40" i="4"/>
  <c r="A39" i="3"/>
  <c r="AP39" i="3" s="1"/>
  <c r="AR21" i="3"/>
  <c r="AR11" i="3"/>
  <c r="AP33" i="3"/>
  <c r="AQ13" i="3"/>
  <c r="AQ46" i="3"/>
  <c r="AP34" i="3"/>
  <c r="AR9" i="3"/>
  <c r="AQ10" i="3"/>
  <c r="AQ9" i="3"/>
  <c r="AQ32" i="3"/>
  <c r="AQ17" i="3"/>
  <c r="AP38" i="3"/>
  <c r="AQ11" i="3"/>
  <c r="AP23" i="3"/>
  <c r="AQ24" i="3"/>
  <c r="AR29" i="3"/>
  <c r="AQ36" i="3"/>
  <c r="AP36" i="3"/>
  <c r="AP24" i="3"/>
  <c r="AR46" i="3"/>
  <c r="AP46" i="3"/>
  <c r="AP35" i="3"/>
  <c r="AQ38" i="3"/>
  <c r="AQ28" i="3"/>
  <c r="AQ14" i="3"/>
  <c r="AR22" i="3"/>
  <c r="AR31" i="3"/>
  <c r="AR12" i="3"/>
  <c r="AR13" i="3"/>
  <c r="AR17" i="3"/>
  <c r="AR38" i="3"/>
  <c r="AR14" i="3"/>
  <c r="AP51" i="3"/>
  <c r="AQ20" i="3"/>
  <c r="AP50" i="3"/>
  <c r="AP47" i="3"/>
  <c r="AR49" i="3"/>
  <c r="AQ15" i="3"/>
  <c r="AP16" i="3"/>
  <c r="AQ51" i="3"/>
  <c r="AQ35" i="3"/>
  <c r="AQ25" i="3"/>
  <c r="AR32" i="3"/>
  <c r="AP26" i="3"/>
  <c r="AR20" i="3"/>
  <c r="AR34" i="3"/>
  <c r="AP14" i="3"/>
  <c r="AR18" i="3"/>
  <c r="AR16" i="3"/>
  <c r="AQ49" i="3"/>
  <c r="AQ37" i="3"/>
  <c r="AP21" i="3"/>
  <c r="AQ39" i="3"/>
  <c r="AQ21" i="3"/>
  <c r="AP13" i="3"/>
  <c r="AP25" i="3"/>
  <c r="AR47" i="3"/>
  <c r="AR28" i="3"/>
  <c r="AQ31" i="3"/>
  <c r="AQ19" i="3"/>
  <c r="AR30" i="3"/>
  <c r="AP20" i="3"/>
  <c r="AP28" i="3"/>
  <c r="AP11" i="3"/>
  <c r="AP29" i="3"/>
  <c r="AR37" i="3"/>
  <c r="AR33" i="3"/>
  <c r="AP48" i="3"/>
  <c r="AR48" i="3"/>
  <c r="AR15" i="3"/>
  <c r="AP17" i="3"/>
  <c r="AP12" i="3"/>
  <c r="AQ27" i="3"/>
  <c r="AR35" i="3"/>
  <c r="AP49" i="3"/>
  <c r="AP18" i="3"/>
  <c r="AP19" i="3"/>
  <c r="AQ18" i="3"/>
  <c r="AR50" i="3"/>
  <c r="AP31" i="3"/>
  <c r="AP22" i="3"/>
  <c r="AQ16" i="3"/>
  <c r="AR24" i="3"/>
  <c r="AQ29" i="3"/>
  <c r="AR26" i="3"/>
  <c r="AQ47" i="3"/>
  <c r="AP27" i="3"/>
  <c r="AQ33" i="3"/>
  <c r="AQ23" i="3"/>
  <c r="AQ34" i="3"/>
  <c r="AP15" i="3"/>
  <c r="AR19" i="3"/>
  <c r="AQ50" i="3"/>
  <c r="AQ48" i="3"/>
  <c r="AQ22" i="3"/>
  <c r="AR51" i="3"/>
  <c r="AQ26" i="3"/>
  <c r="AQ12" i="3"/>
  <c r="AQ30" i="3"/>
  <c r="AR23" i="3"/>
  <c r="AR27" i="3"/>
  <c r="AP30" i="3"/>
  <c r="AR36" i="3"/>
  <c r="AP37" i="3"/>
  <c r="AR25" i="3"/>
  <c r="AP32" i="3"/>
  <c r="A41" i="4" l="1"/>
  <c r="A40" i="3"/>
  <c r="AJ39" i="3"/>
  <c r="AI39" i="3"/>
  <c r="AK39" i="3"/>
  <c r="AH39" i="3"/>
  <c r="AV39" i="3"/>
  <c r="AT39" i="3"/>
  <c r="AU39" i="3"/>
  <c r="AS39" i="3"/>
  <c r="AO39" i="3"/>
  <c r="AL39" i="3"/>
  <c r="AM39" i="3"/>
  <c r="AN39" i="3"/>
  <c r="AR39" i="3"/>
  <c r="AK40" i="3" l="1"/>
  <c r="AH40" i="3"/>
  <c r="AI40" i="3"/>
  <c r="AJ40" i="3"/>
  <c r="AS40" i="3"/>
  <c r="AV40" i="3"/>
  <c r="AU40" i="3"/>
  <c r="AT40" i="3"/>
  <c r="AO40" i="3"/>
  <c r="AM40" i="3"/>
  <c r="AL40" i="3"/>
  <c r="AN40" i="3"/>
  <c r="AQ40" i="3"/>
  <c r="AR40" i="3"/>
  <c r="AP40" i="3"/>
  <c r="A42" i="4"/>
  <c r="A41" i="3"/>
  <c r="AI41" i="3" l="1"/>
  <c r="AH41" i="3"/>
  <c r="AJ41" i="3"/>
  <c r="AK41" i="3"/>
  <c r="AS41" i="3"/>
  <c r="AV41" i="3"/>
  <c r="AT41" i="3"/>
  <c r="AU41" i="3"/>
  <c r="AL41" i="3"/>
  <c r="AM41" i="3"/>
  <c r="AN41" i="3"/>
  <c r="AO41" i="3"/>
  <c r="AP41" i="3"/>
  <c r="AR41" i="3"/>
  <c r="AQ41" i="3"/>
  <c r="A43" i="4"/>
  <c r="A42" i="3"/>
  <c r="A44" i="4" l="1"/>
  <c r="A43" i="3"/>
  <c r="AK42" i="3"/>
  <c r="AJ42" i="3"/>
  <c r="AH42" i="3"/>
  <c r="AI42" i="3"/>
  <c r="AV42" i="3"/>
  <c r="AU42" i="3"/>
  <c r="AT42" i="3"/>
  <c r="AS42" i="3"/>
  <c r="AL42" i="3"/>
  <c r="AM42" i="3"/>
  <c r="AO42" i="3"/>
  <c r="AN42" i="3"/>
  <c r="AR42" i="3"/>
  <c r="AQ42" i="3"/>
  <c r="AP42" i="3"/>
  <c r="AI43" i="3" l="1"/>
  <c r="AK43" i="3"/>
  <c r="AJ43" i="3"/>
  <c r="AH43" i="3"/>
  <c r="AT43" i="3"/>
  <c r="AS43" i="3"/>
  <c r="AU43" i="3"/>
  <c r="AV43" i="3"/>
  <c r="AN43" i="3"/>
  <c r="AM43" i="3"/>
  <c r="AL43" i="3"/>
  <c r="AO43" i="3"/>
  <c r="AQ43" i="3"/>
  <c r="AP43" i="3"/>
  <c r="AR43" i="3"/>
  <c r="A45" i="4"/>
  <c r="A44" i="3"/>
  <c r="AH44" i="3" l="1"/>
  <c r="AK44" i="3"/>
  <c r="AJ44" i="3"/>
  <c r="AI44" i="3"/>
  <c r="AS44" i="3"/>
  <c r="AT44" i="3"/>
  <c r="AU44" i="3"/>
  <c r="AV44" i="3"/>
  <c r="AO44" i="3"/>
  <c r="AM44" i="3"/>
  <c r="AL44" i="3"/>
  <c r="AN44" i="3"/>
  <c r="AQ44" i="3"/>
  <c r="AR44" i="3"/>
  <c r="AP44" i="3"/>
  <c r="A46" i="4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45" i="3"/>
  <c r="AI45" i="3" l="1"/>
  <c r="AH45" i="3"/>
  <c r="AK45" i="3"/>
  <c r="AJ45" i="3"/>
  <c r="AV45" i="3"/>
  <c r="AT45" i="3"/>
  <c r="AU45" i="3"/>
  <c r="AS45" i="3"/>
  <c r="AN45" i="3"/>
  <c r="AM45" i="3"/>
  <c r="AO45" i="3"/>
  <c r="AL45" i="3"/>
  <c r="AP45" i="3"/>
  <c r="AQ45" i="3"/>
  <c r="AR4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<sst xmlns="http://schemas.openxmlformats.org/spreadsheetml/2006/main" count="1207" uniqueCount="356">
  <si>
    <t>WSUC_ID</t>
  </si>
  <si>
    <t>WSUC_Name</t>
  </si>
  <si>
    <t>Latitude</t>
  </si>
  <si>
    <t>Longitude</t>
  </si>
  <si>
    <t>Join_Key</t>
  </si>
  <si>
    <t>Province</t>
  </si>
  <si>
    <t>District</t>
  </si>
  <si>
    <t>Municipality_Type</t>
  </si>
  <si>
    <t>Municipality_Name</t>
  </si>
  <si>
    <t>Wards_Covered</t>
  </si>
  <si>
    <t>Business_Plan</t>
  </si>
  <si>
    <t>HH_Served</t>
  </si>
  <si>
    <t>Total_HH</t>
  </si>
  <si>
    <t>Coverage_Pct</t>
  </si>
  <si>
    <t>Coverage_Score</t>
  </si>
  <si>
    <t>Scheme_Type</t>
  </si>
  <si>
    <t>Billed_Volume</t>
  </si>
  <si>
    <t>Population_Served</t>
  </si>
  <si>
    <t>Actual_LPCD</t>
  </si>
  <si>
    <t>Target_LPCD</t>
  </si>
  <si>
    <t>Adequacy_Score</t>
  </si>
  <si>
    <t>WQ_Testing</t>
  </si>
  <si>
    <t>WQ_EColi</t>
  </si>
  <si>
    <t>WQ_Arsenic</t>
  </si>
  <si>
    <t>WQ_Score</t>
  </si>
  <si>
    <t>Hours_of_Supply</t>
  </si>
  <si>
    <t>Reliability_Score</t>
  </si>
  <si>
    <t>NRW_Logbook</t>
  </si>
  <si>
    <t>NRW_Flow_Measurement</t>
  </si>
  <si>
    <t>NRW_Reservoir_Scale</t>
  </si>
  <si>
    <t>NRW_Flow_Meters</t>
  </si>
  <si>
    <t>NRW_DMA</t>
  </si>
  <si>
    <t>NRW_Score</t>
  </si>
  <si>
    <t>Expenditure</t>
  </si>
  <si>
    <t>Income</t>
  </si>
  <si>
    <t>Operating_Ratio</t>
  </si>
  <si>
    <t>OM_Score</t>
  </si>
  <si>
    <t>Metered_Connections</t>
  </si>
  <si>
    <t>Total_Connections</t>
  </si>
  <si>
    <t>Metering_Pct</t>
  </si>
  <si>
    <t>Metering_Score</t>
  </si>
  <si>
    <t>Grievance_Logbook</t>
  </si>
  <si>
    <t>Grievance_Mechanism</t>
  </si>
  <si>
    <t>Grievance_Score</t>
  </si>
  <si>
    <t>SPI_Pct</t>
  </si>
  <si>
    <t>OEI_Pct</t>
  </si>
  <si>
    <t>Category_Number</t>
  </si>
  <si>
    <t>Category_Level</t>
  </si>
  <si>
    <t>Lubhu_WSUC</t>
  </si>
  <si>
    <t>Bagmati</t>
  </si>
  <si>
    <t>Lalitpur</t>
  </si>
  <si>
    <t>Municipality</t>
  </si>
  <si>
    <t>Mahalaxmi</t>
  </si>
  <si>
    <t>Yes</t>
  </si>
  <si>
    <t>Shivalaya_WSUC</t>
  </si>
  <si>
    <t>Gandaki</t>
  </si>
  <si>
    <t>Kusma</t>
  </si>
  <si>
    <t>Ratnanagar_WSUC</t>
  </si>
  <si>
    <t>Ratnanagar</t>
  </si>
  <si>
    <t>1 ,2,3,4,5,6,7,8,9,10,11,12,13</t>
  </si>
  <si>
    <t>No</t>
  </si>
  <si>
    <t>Nirmalpokhari_WSUC</t>
  </si>
  <si>
    <t>Metropolitan</t>
  </si>
  <si>
    <t>Pokhara</t>
  </si>
  <si>
    <t>Bhimad_WSUC</t>
  </si>
  <si>
    <t>Bhimad</t>
  </si>
  <si>
    <t>Katunje_WSUC</t>
  </si>
  <si>
    <t>Bhaktapur</t>
  </si>
  <si>
    <t>Suryabinayak</t>
  </si>
  <si>
    <t>Nijgad_WSUC</t>
  </si>
  <si>
    <t>Madhesh</t>
  </si>
  <si>
    <t>Nijgad</t>
  </si>
  <si>
    <t>4,5,6,7,8,9</t>
  </si>
  <si>
    <t>Tinthana_WSUC</t>
  </si>
  <si>
    <t>Chandragiri</t>
  </si>
  <si>
    <t>Birgunj_WSUC</t>
  </si>
  <si>
    <t>Birgunj</t>
  </si>
  <si>
    <t>1 ,2,3,4,5,6,7,8,9,10,11,12,13,14,15,16,17,18,19,20,21,22,23,24</t>
  </si>
  <si>
    <t>Gaur_WSUC</t>
  </si>
  <si>
    <t>Gaur</t>
  </si>
  <si>
    <t>Beni_WSUC</t>
  </si>
  <si>
    <t>Beni</t>
  </si>
  <si>
    <t>Narayansthan_WSUC</t>
  </si>
  <si>
    <t>Baglung</t>
  </si>
  <si>
    <t>Diktel_WSUC</t>
  </si>
  <si>
    <t>Diktel</t>
  </si>
  <si>
    <t>Parsa_WSUC</t>
  </si>
  <si>
    <t>Khairahani</t>
  </si>
  <si>
    <t>Saradanagar_WSUC</t>
  </si>
  <si>
    <t>Bharatpur</t>
  </si>
  <si>
    <t>Gunjanagar_WSUC</t>
  </si>
  <si>
    <t>Meghauli_WSUC</t>
  </si>
  <si>
    <t>Sukranagar_WSUC</t>
  </si>
  <si>
    <t>Pithuwa_WSUC</t>
  </si>
  <si>
    <t>Jutpani_WSUC</t>
  </si>
  <si>
    <t>Kalika</t>
  </si>
  <si>
    <t>Namunashivanagar_WSUC</t>
  </si>
  <si>
    <t>Gaidakot_Pumping_WSUC</t>
  </si>
  <si>
    <t>Gaidakot</t>
  </si>
  <si>
    <t>Amarapuri_WSUC</t>
  </si>
  <si>
    <t>Jwalamukhi Rural Water Sanitation and Hygine Management Board</t>
  </si>
  <si>
    <t>Rural municipality</t>
  </si>
  <si>
    <t>Jwalamukhi</t>
  </si>
  <si>
    <t>Mulkhola_Thakre_WSUC</t>
  </si>
  <si>
    <t>Thakre</t>
  </si>
  <si>
    <t xml:space="preserve">Belung_Salyankot_WSUC </t>
  </si>
  <si>
    <t>Tripurasundari</t>
  </si>
  <si>
    <t xml:space="preserve"> Anandaban Sankarnagar Water supply user and sanitation Accociation</t>
  </si>
  <si>
    <t>Lumbini</t>
  </si>
  <si>
    <t>Tilottama</t>
  </si>
  <si>
    <t>Mahadevsthan_Matatirtha_WSUC</t>
  </si>
  <si>
    <t>Dudhikot_Brihat_WSUC</t>
  </si>
  <si>
    <t>Rupakot Majhuwagadi</t>
  </si>
  <si>
    <t>Shuvaghat_WSUC</t>
  </si>
  <si>
    <t>Gurvakot</t>
  </si>
  <si>
    <t>Shivanagar_WSUC</t>
  </si>
  <si>
    <t>Kusma_WSUC</t>
  </si>
  <si>
    <t>Ghorahi_WSUC</t>
  </si>
  <si>
    <t>Province_Name</t>
  </si>
  <si>
    <t>District_Name</t>
  </si>
  <si>
    <t>Dang</t>
  </si>
  <si>
    <t>Prerequisite: Does Business Plan exist?</t>
  </si>
  <si>
    <t>Households_Served()</t>
  </si>
  <si>
    <t>Total_Households</t>
  </si>
  <si>
    <t>Coverage%</t>
  </si>
  <si>
    <t>Computed_Score</t>
  </si>
  <si>
    <t>Interpretation</t>
  </si>
  <si>
    <t>SCORE  GUIDE</t>
  </si>
  <si>
    <t>C Range (%)</t>
  </si>
  <si>
    <t>Computed Score / Weight</t>
  </si>
  <si>
    <t>Performance Interpretation</t>
  </si>
  <si>
    <t>C = 100</t>
  </si>
  <si>
    <t>Fully compliant</t>
  </si>
  <si>
    <t>60 &lt; C &lt; 100</t>
  </si>
  <si>
    <t>(C − 60) / 40</t>
  </si>
  <si>
    <t>Partially compliant</t>
  </si>
  <si>
    <t>C ≤ 60</t>
  </si>
  <si>
    <t>Non-compliant</t>
  </si>
  <si>
    <t>Billed_Volume(m3)</t>
  </si>
  <si>
    <t>Population_served</t>
  </si>
  <si>
    <t>Days</t>
  </si>
  <si>
    <t>LPCD %</t>
  </si>
  <si>
    <t>Computed_score</t>
  </si>
  <si>
    <t>SCORE GUIDE</t>
  </si>
  <si>
    <t>For Gravity and Pumped flow</t>
  </si>
  <si>
    <t>For Rural</t>
  </si>
  <si>
    <t>LPCD Range (%)</t>
  </si>
  <si>
    <t>Computed Score/ weight</t>
  </si>
  <si>
    <t>PCC Range (%)</t>
  </si>
  <si>
    <t>Computed Score/weight</t>
  </si>
  <si>
    <t>LPCD ≥ 100</t>
  </si>
  <si>
    <t>Fully compliant with service coverage benchmark</t>
  </si>
  <si>
    <t>PCC ≥ 45</t>
  </si>
  <si>
    <t>45 ≤ LPCD &lt; 100</t>
  </si>
  <si>
    <t>(PCC − 45) / 55</t>
  </si>
  <si>
    <t>Partially compliant; service coverage improves progressively with PCC</t>
  </si>
  <si>
    <t xml:space="preserve">20 ≤ PCC &lt; 45 </t>
  </si>
  <si>
    <t>(PCC − 19.99) / 25</t>
  </si>
  <si>
    <t>LPCD &lt; 45</t>
  </si>
  <si>
    <t>Non-compliant; service coverage below minimum acceptable threshold</t>
  </si>
  <si>
    <t>PCC &lt; 20</t>
  </si>
  <si>
    <t>Testing_Conducted</t>
  </si>
  <si>
    <t>E.Coli_Compliance</t>
  </si>
  <si>
    <t>Arsenic_Compliance</t>
  </si>
  <si>
    <t>Quality_Score</t>
  </si>
  <si>
    <t>Testing_score</t>
  </si>
  <si>
    <t>E.coli_score</t>
  </si>
  <si>
    <t>Arsenic_score</t>
  </si>
  <si>
    <t>yes</t>
  </si>
  <si>
    <t>Sub-Indicator</t>
  </si>
  <si>
    <t>Assessment Criterion</t>
  </si>
  <si>
    <t>Condition for Compliance</t>
  </si>
  <si>
    <t>Assigned Weight</t>
  </si>
  <si>
    <t>Water quality testing conducted</t>
  </si>
  <si>
    <t>Testing conducted during assessment period</t>
  </si>
  <si>
    <t xml:space="preserve"> E. coli</t>
  </si>
  <si>
    <t>All tested samples comply with prescribed standards</t>
  </si>
  <si>
    <t xml:space="preserve"> Arsenic</t>
  </si>
  <si>
    <t>Arsenic concentration ≤ 0.05 mg/L</t>
  </si>
  <si>
    <t>Hours_of_Supply(H)</t>
  </si>
  <si>
    <t>Reliability_score</t>
  </si>
  <si>
    <t>Remarks</t>
  </si>
  <si>
    <t>Hours of Supply (H)</t>
  </si>
  <si>
    <t>Score</t>
  </si>
  <si>
    <t>H ≥ 24</t>
  </si>
  <si>
    <t>Full service continuity (best practice)</t>
  </si>
  <si>
    <t>3 ≤ H &lt; 24</t>
  </si>
  <si>
    <t>(H – 3) / 21</t>
  </si>
  <si>
    <t>Partial continuity – linear interpolation</t>
  </si>
  <si>
    <t>H = 3</t>
  </si>
  <si>
    <t>Minimum acceptable service level</t>
  </si>
  <si>
    <t>H &lt; 3</t>
  </si>
  <si>
    <t>Below minimum service level – non-compliant</t>
  </si>
  <si>
    <t>Logbook of pumping hours?</t>
  </si>
  <si>
    <t>Flow measurement via pump curve? (HP &amp; Head info)</t>
  </si>
  <si>
    <t>reservoir scale + distribution hours measured?</t>
  </si>
  <si>
    <t>Flow meters in transmission &amp; distribution?</t>
  </si>
  <si>
    <t>DMA-based network with sensors/software/data logging?</t>
  </si>
  <si>
    <t>Total NRW Score</t>
  </si>
  <si>
    <t>Tier</t>
  </si>
  <si>
    <t xml:space="preserve">Description </t>
  </si>
  <si>
    <t>Weight</t>
  </si>
  <si>
    <t>Score Rule</t>
  </si>
  <si>
    <t>Logbook of pumping hours maintained? (Gate)</t>
  </si>
  <si>
    <t>Gate</t>
  </si>
  <si>
    <t>Yes → proceed; No → score = 0</t>
  </si>
  <si>
    <t>Flow measurement via pump curve? (HP &amp; Head recorded)</t>
  </si>
  <si>
    <t>Yes = 0.30; No = 0</t>
  </si>
  <si>
    <t>Transmission &amp; reservoir scale present + distribution hours tracked?</t>
  </si>
  <si>
    <t>Yes = 0.25; No = 0</t>
  </si>
  <si>
    <t>Flow meters installed in transmission &amp; distribution?</t>
  </si>
  <si>
    <t>Yes = 0.20; No = 0</t>
  </si>
  <si>
    <t>DMA-based network with sensors/software for data logging?</t>
  </si>
  <si>
    <t>Is there an Audit Report?</t>
  </si>
  <si>
    <t>Total_Expenditure</t>
  </si>
  <si>
    <t>Total_Income</t>
  </si>
  <si>
    <t>OR Range</t>
  </si>
  <si>
    <t>OR ≤ 0.70</t>
  </si>
  <si>
    <t>0.70 &lt; OR &lt; 1.20</t>
  </si>
  <si>
    <t>(1.20 − OR) / 0.50</t>
  </si>
  <si>
    <t>OR ≥ 1.20</t>
  </si>
  <si>
    <t>Functional_Metered_Connections</t>
  </si>
  <si>
    <t>Total_Metered_Connections</t>
  </si>
  <si>
    <t>MR%</t>
  </si>
  <si>
    <t>Score Guide</t>
  </si>
  <si>
    <t>MR Range (%)</t>
  </si>
  <si>
    <t>MR = 100</t>
  </si>
  <si>
    <t>60 &lt; MR &lt; 100</t>
  </si>
  <si>
    <t>(MR − 60) / 40</t>
  </si>
  <si>
    <t>MR ≤ 60</t>
  </si>
  <si>
    <t xml:space="preserve">Non-compliant; metering below minimum acceptable threshold </t>
  </si>
  <si>
    <t>Log_Book_Maintained?</t>
  </si>
  <si>
    <t>Grievance_Mechanism_Exists?</t>
  </si>
  <si>
    <t>Criteria</t>
  </si>
  <si>
    <t>Grievance redressal mechanism exists (Yes)</t>
  </si>
  <si>
    <t>Grievance redressal mechanism does not exist (No)</t>
  </si>
  <si>
    <t xml:space="preserve"> Performance Summary  |  Categorisation: SPI (Y-axis)  vs OEI (X-axis) Chart</t>
  </si>
  <si>
    <t>SPI (%) = 0.35 × Water Quality  +  0.25 × Service Coverage  +  0.20 × Adequacy  +  0.20 × Reliability</t>
  </si>
  <si>
    <t>OEI (%) = 0.30 × NRW  +  0.25 × Grievance Addressal  +  0.25 × O&amp;M Ratio  +  0.20 × Metering</t>
  </si>
  <si>
    <t>◄  SPI - Level &amp; Quality of Water Supply Service  ►</t>
  </si>
  <si>
    <t>SPI%</t>
  </si>
  <si>
    <t>◄  OEI - Operational &amp; Management Efficiency  ►</t>
  </si>
  <si>
    <t>OEI%</t>
  </si>
  <si>
    <t>Cat#</t>
  </si>
  <si>
    <t>Category &amp; Level</t>
  </si>
  <si>
    <t>No.</t>
  </si>
  <si>
    <t>WSUC Name</t>
  </si>
  <si>
    <t>Service
Coverage
(wt 0.25)</t>
  </si>
  <si>
    <t>Adequacy
(wt 0.20)</t>
  </si>
  <si>
    <t>Water
Quality
(wt 0.35)</t>
  </si>
  <si>
    <t>Reliability
(wt 0.20)</t>
  </si>
  <si>
    <t>SPI
(%)</t>
  </si>
  <si>
    <t>NRW
(wt 0.30)</t>
  </si>
  <si>
    <t>O&amp;M Ratio
(wt 0.25)</t>
  </si>
  <si>
    <t>Metering
(wt 0.20)</t>
  </si>
  <si>
    <t>Grievance
(wt 0.25)</t>
  </si>
  <si>
    <t>OEI
(%)</t>
  </si>
  <si>
    <t>Category
#</t>
  </si>
  <si>
    <t>Category
&amp; Level</t>
  </si>
  <si>
    <t>Cat #</t>
  </si>
  <si>
    <t>Category Name</t>
  </si>
  <si>
    <t>Level</t>
  </si>
  <si>
    <t>SPI %
(Y-axis)</t>
  </si>
  <si>
    <t xml:space="preserve"> Highly Efficient</t>
  </si>
  <si>
    <t>Efficient</t>
  </si>
  <si>
    <t>≥ 95</t>
  </si>
  <si>
    <t xml:space="preserve"> Moderately Efficient</t>
  </si>
  <si>
    <t>≥ 90</t>
  </si>
  <si>
    <t xml:space="preserve"> Just Efficient</t>
  </si>
  <si>
    <t>≥ 80</t>
  </si>
  <si>
    <t>Improved</t>
  </si>
  <si>
    <t>Improving</t>
  </si>
  <si>
    <t>70–79</t>
  </si>
  <si>
    <t xml:space="preserve"> Improving</t>
  </si>
  <si>
    <t>50–69</t>
  </si>
  <si>
    <t xml:space="preserve"> Active</t>
  </si>
  <si>
    <t>Functioning</t>
  </si>
  <si>
    <t>&lt; 50</t>
  </si>
  <si>
    <t xml:space="preserve"> Inactive</t>
  </si>
  <si>
    <t>≥ 50</t>
  </si>
  <si>
    <t>Poor</t>
  </si>
  <si>
    <t>Very Poor</t>
  </si>
  <si>
    <t>&lt; 30</t>
  </si>
  <si>
    <t>Yasok Sukkha Area Tamor Pumping_WSUC</t>
  </si>
  <si>
    <t>Koshi</t>
  </si>
  <si>
    <t xml:space="preserve">kummayak </t>
  </si>
  <si>
    <t>1,3,4,5</t>
  </si>
  <si>
    <t>Pumped</t>
  </si>
  <si>
    <t>Gravity</t>
  </si>
  <si>
    <t>YES</t>
  </si>
  <si>
    <t>Intermittent</t>
  </si>
  <si>
    <t>Phidim_WSUC</t>
  </si>
  <si>
    <t>Phidim</t>
  </si>
  <si>
    <t>1,2,4</t>
  </si>
  <si>
    <t>Phungling</t>
  </si>
  <si>
    <t>2,3,4,5,6,7,8</t>
  </si>
  <si>
    <t>Taplejung_WSUC</t>
  </si>
  <si>
    <t>Ilam Bazaar Urban_WSUC</t>
  </si>
  <si>
    <t>Ilam</t>
  </si>
  <si>
    <t>5,6,7,8,9</t>
  </si>
  <si>
    <t>Dhankuta_WSUC</t>
  </si>
  <si>
    <t>Dhankuta</t>
  </si>
  <si>
    <t>3,4,5,6,7</t>
  </si>
  <si>
    <t>Name</t>
  </si>
  <si>
    <t>Khandbari</t>
  </si>
  <si>
    <t>3,7,1,8,9</t>
  </si>
  <si>
    <t>Khandbari_WSUC</t>
  </si>
  <si>
    <t>Khanbari_WSUC</t>
  </si>
  <si>
    <t>Halesi Area Khotang Large Pumping</t>
  </si>
  <si>
    <t>Halesi Tuwachung</t>
  </si>
  <si>
    <t>1,2,3,4,5,6,7</t>
  </si>
  <si>
    <t>Kakarvitta_WSUC</t>
  </si>
  <si>
    <t>Jhapa</t>
  </si>
  <si>
    <t>Mechinagar</t>
  </si>
  <si>
    <t>Continuous</t>
  </si>
  <si>
    <t>Khalanga_WSUC</t>
  </si>
  <si>
    <t>Sudurpaschim</t>
  </si>
  <si>
    <t>Mahakali</t>
  </si>
  <si>
    <t>4,5</t>
  </si>
  <si>
    <t>Nala_WSUC</t>
  </si>
  <si>
    <t>Kavrepalanchok</t>
  </si>
  <si>
    <t>Banepa</t>
  </si>
  <si>
    <t>Dukuchhap_WSUC</t>
  </si>
  <si>
    <t xml:space="preserve">Lalitpur  </t>
  </si>
  <si>
    <t>Godawari</t>
  </si>
  <si>
    <t>Dukluchhap_WSUC</t>
  </si>
  <si>
    <t>Kalitar_WSUC</t>
  </si>
  <si>
    <t>Jaubari Gahu Bari _WSUC</t>
  </si>
  <si>
    <t>Lalitput</t>
  </si>
  <si>
    <t>4,5,6,7</t>
  </si>
  <si>
    <t>Lekhnath_WSUC</t>
  </si>
  <si>
    <t>26,27,28,29,30,31,32</t>
  </si>
  <si>
    <t>Waling_WSUC</t>
  </si>
  <si>
    <t>Syangja</t>
  </si>
  <si>
    <t>Waling</t>
  </si>
  <si>
    <t>Baglung_WSUC</t>
  </si>
  <si>
    <t>1,2,3,4</t>
  </si>
  <si>
    <t>Lalitpur District, Nepal</t>
  </si>
  <si>
    <t>Parbat District</t>
  </si>
  <si>
    <t>Chitwan District</t>
  </si>
  <si>
    <t>Kaski District</t>
  </si>
  <si>
    <t>Tanahun District</t>
  </si>
  <si>
    <t>Bara District</t>
  </si>
  <si>
    <t>Kathmandu District</t>
  </si>
  <si>
    <t>Parsa District</t>
  </si>
  <si>
    <t>Rautahat District</t>
  </si>
  <si>
    <t>Nawalpur District</t>
  </si>
  <si>
    <t>Dhading District</t>
  </si>
  <si>
    <t>Rupandehi District</t>
  </si>
  <si>
    <t>Khotang District</t>
  </si>
  <si>
    <t>Panchthar District</t>
  </si>
  <si>
    <t>Taplejung District</t>
  </si>
  <si>
    <t>Ilam District</t>
  </si>
  <si>
    <t>Dhankuta District</t>
  </si>
  <si>
    <t>Sankhuwasabha District</t>
  </si>
  <si>
    <t>Darchula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</si>
</sst>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i/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1A1A2E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FFFFFF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10"/>
      <color rgb="FF141413"/>
      <name val="Times New Roman"/>
      <family val="1"/>
    </font>
    <font>
      <sz val="11"/>
      <color rgb="FF1F1F1F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1F2D3D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1B5E3B"/>
        <bgColor rgb="FF2E7D32"/>
      </patternFill>
    </fill>
    <fill>
      <patternFill patternType="solid">
        <fgColor rgb="FF546E7A"/>
        <bgColor rgb="FF555555"/>
      </patternFill>
    </fill>
    <fill>
      <patternFill patternType="solid">
        <fgColor rgb="FF4E342E"/>
        <bgColor rgb="FF333333"/>
      </patternFill>
    </fill>
    <fill>
      <patternFill patternType="solid">
        <fgColor rgb="FF7B0000"/>
        <bgColor rgb="FF800000"/>
      </patternFill>
    </fill>
    <fill>
      <patternFill patternType="solid">
        <fgColor rgb="FF0277BD"/>
        <bgColor rgb="FF01579B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EAF1"/>
      </patternFill>
    </fill>
  </fills>
  <borders count="2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/>
      <top/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CCCCCC"/>
      </right>
      <top style="medium">
        <color indexed="64"/>
      </top>
      <bottom/>
      <diagonal/>
    </border>
    <border>
      <left/>
      <right style="thin">
        <color rgb="FFCCCCCC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indexed="64"/>
      </bottom>
      <diagonal/>
    </border>
  </borders>
  <cellStyleXfs count="3">
    <xf numFmtId="0" fontId="0" fillId="0" borderId="0"/>
    <xf numFmtId="0" fontId="1" fillId="10" borderId="0"/>
    <xf numFmtId="0" fontId="1" fillId="11" borderId="0"/>
  </cellStyleXfs>
  <cellXfs count="88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1" fillId="10" borderId="1" xfId="1" applyNumberFormat="1" applyBorder="1" applyAlignment="1">
      <alignment horizontal="center" vertical="center" wrapText="1"/>
    </xf>
    <xf numFmtId="164" fontId="1" fillId="11" borderId="1" xfId="2" applyNumberForma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2" fontId="15" fillId="4" borderId="1" xfId="0" applyNumberFormat="1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20" fillId="15" borderId="2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15" fillId="3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19" fillId="12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64" fontId="1" fillId="11" borderId="1" xfId="2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" fillId="10" borderId="1" xfId="1" applyNumberForma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/>
    </xf>
  </cellXfs>
  <cellStyles count="3">
    <cellStyle name="20% - Accent1" xfId="1" builtinId="30"/>
    <cellStyle name="40% - Accent5" xfId="2" builtinId="47"/>
    <cellStyle name="Normal" xfId="0" builtinId="0"/>
  </cellStyles>
  <dxfs count="175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border outline="0">
        <top style="thin">
          <color rgb="FFCCCCCC"/>
        </top>
      </border>
    </dxf>
    <dxf>
      <border outline="0">
        <top style="thin">
          <color rgb="FFCCCCCC"/>
        </top>
      </border>
    </dxf>
    <dxf>
      <border outline="0">
        <top style="thin">
          <color rgb="FFCCCCCC"/>
        </top>
      </border>
    </dxf>
    <dxf>
      <border outline="0">
        <top style="thin">
          <color rgb="FFCCCCCC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2E7D32"/>
      <rgbColor rgb="FF1A1A2E"/>
      <rgbColor rgb="FF808000"/>
      <rgbColor rgb="FF800080"/>
      <rgbColor rgb="FF01579B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277BD"/>
      <rgbColor rgb="FFCCCCFF"/>
      <rgbColor rgb="FF000080"/>
      <rgbColor rgb="FFFF00FF"/>
      <rgbColor rgb="FFFFFF00"/>
      <rgbColor rgb="FF00FFFF"/>
      <rgbColor rgb="FF800080"/>
      <rgbColor rgb="FF800000"/>
      <rgbColor rgb="FF1B5E3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1B3A6B"/>
      <rgbColor rgb="FF388E3C"/>
      <rgbColor rgb="FF1F2D3D"/>
      <rgbColor rgb="FF4E342E"/>
      <rgbColor rgb="FFB71C1C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624840</xdr:colOff>
      <xdr:row>100</xdr:row>
      <xdr:rowOff>144780</xdr:rowOff>
    </xdr:from>
    <xdr:to>
      <xdr:col>12</xdr:col>
      <xdr:colOff>38100</xdr:colOff>
      <xdr:row>108</xdr:row>
      <xdr:rowOff>173760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9433560"/>
          <a:ext cx="2872740" cy="45400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8</xdr:col>
      <xdr:colOff>674054</xdr:colOff>
      <xdr:row>91</xdr:row>
      <xdr:rowOff>114299</xdr:rowOff>
    </xdr:from>
    <xdr:to>
      <xdr:col>18</xdr:col>
      <xdr:colOff>160020</xdr:colOff>
      <xdr:row>99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67" t="1458" r="7019" b="3197"/>
        <a:stretch>
          <a:fillRect/>
        </a:stretch>
      </xdr:blipFill>
      <xdr:spPr>
        <a:xfrm>
          <a:off x="6160454" y="3832859"/>
          <a:ext cx="7525066" cy="4892041"/>
        </a:xfrm>
        <a:prstGeom prst="rect">
          <a:avLst/>
        </a:prstGeom>
        <a:ln>
          <a:prstDash val="solid"/>
        </a:ln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Name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8" displayName="Table18" ref="A1:AV95" totalsRowShown="0" dataDxfId="174">
  <autoFilter ref="A1:AV95" xr:uid="{00000000-0009-0000-0100-000001000000}"/>
  <tableColumns count="48">
    <tableColumn id="1" xr3:uid="{00000000-0010-0000-0000-000001000000}" name="WSUC_ID" dataDxfId="173">
      <calculatedColumnFormula>Spatial!A2</calculatedColumnFormula>
    </tableColumn>
    <tableColumn id="2" xr3:uid="{00000000-0010-0000-0000-000002000000}" name="WSUC_Name" dataDxfId="172">
      <calculatedColumnFormula>Spatial!B2</calculatedColumnFormula>
    </tableColumn>
    <tableColumn id="3" xr3:uid="{00000000-0010-0000-0000-000003000000}" name="Province" dataDxfId="171">
      <calculatedColumnFormula>Spatial!C2</calculatedColumnFormula>
    </tableColumn>
    <tableColumn id="4" xr3:uid="{00000000-0010-0000-0000-000004000000}" name="District" dataDxfId="170">
      <calculatedColumnFormula>Spatial!D2</calculatedColumnFormula>
    </tableColumn>
    <tableColumn id="5" xr3:uid="{00000000-0010-0000-0000-000005000000}" name="Municipality_Type" dataDxfId="169">
      <calculatedColumnFormula>Spatial!E2</calculatedColumnFormula>
    </tableColumn>
    <tableColumn id="6" xr3:uid="{00000000-0010-0000-0000-000006000000}" name="Municipality_Name" dataDxfId="168">
      <calculatedColumnFormula>Spatial!F2</calculatedColumnFormula>
    </tableColumn>
    <tableColumn id="7" xr3:uid="{00000000-0010-0000-0000-000007000000}" name="Wards_Covered" dataDxfId="167">
      <calculatedColumnFormula>IFERROR(Spatial!G2,"")</calculatedColumnFormula>
    </tableColumn>
    <tableColumn id="46" xr3:uid="{00000000-0010-0000-0000-00002E000000}" name="Latitude" dataDxfId="166"/>
    <tableColumn id="48" xr3:uid="{00000000-0010-0000-0000-000030000000}" name="Longitude" dataDxfId="165"/>
    <tableColumn id="45" xr3:uid="{00000000-0010-0000-0000-00002D000000}" name="Join_Key" dataDxfId="164">
      <calculatedColumnFormula>F2&amp;"_"&amp;D2</calculatedColumnFormula>
    </tableColumn>
    <tableColumn id="8" xr3:uid="{00000000-0010-0000-0000-000008000000}" name="Business_Plan" dataDxfId="163">
      <calculatedColumnFormula>IFERROR(IF(VLOOKUP(A2,'Service Coverage'!$A:$C,3,0)="","",VLOOKUP(A2,'Service Coverage'!$A:$C,3,0)),"")</calculatedColumnFormula>
    </tableColumn>
    <tableColumn id="9" xr3:uid="{00000000-0010-0000-0000-000009000000}" name="HH_Served" dataDxfId="162">
      <calculatedColumnFormula>IFERROR(IF(VLOOKUP(A2,'Service Coverage'!$A:$D,4,0)="","",VLOOKUP(A2,'Service Coverage'!$A:$D,4,0)),"")</calculatedColumnFormula>
    </tableColumn>
    <tableColumn id="10" xr3:uid="{00000000-0010-0000-0000-00000A000000}" name="Total_HH" dataDxfId="161">
      <calculatedColumnFormula>IFERROR(IF(VLOOKUP(A2,'Service Coverage'!$A:$E,5,0)="","",VLOOKUP(A2,'Service Coverage'!$A:$E,5,0)),"")</calculatedColumnFormula>
    </tableColumn>
    <tableColumn id="11" xr3:uid="{00000000-0010-0000-0000-00000B000000}" name="Coverage_Pct" dataDxfId="160">
      <calculatedColumnFormula>IFERROR(IF(VLOOKUP(A2,'Service Coverage'!$A:$F,6,0)="","",VLOOKUP(A2,'Service Coverage'!$A:$F,6,0)),"")</calculatedColumnFormula>
    </tableColumn>
    <tableColumn id="12" xr3:uid="{00000000-0010-0000-0000-00000C000000}" name="Coverage_Score" dataDxfId="159">
      <calculatedColumnFormula>IFERROR(IF(VLOOKUP(A2,'Service Coverage'!$A:$G,7,0)="","",VLOOKUP(A2,'Service Coverage'!$A:$G,7,0)),"")</calculatedColumnFormula>
    </tableColumn>
    <tableColumn id="13" xr3:uid="{00000000-0010-0000-0000-00000D000000}" name="Scheme_Type" dataDxfId="158">
      <calculatedColumnFormula>IFERROR(IF(VLOOKUP(A2,Adequacy!$A:$C,3,0)="","",VLOOKUP(A2,Adequacy!$A:$C,3,0)),"")</calculatedColumnFormula>
    </tableColumn>
    <tableColumn id="14" xr3:uid="{00000000-0010-0000-0000-00000E000000}" name="Billed_Volume" dataDxfId="157">
      <calculatedColumnFormula>IFERROR(IF(VLOOKUP(A2,Adequacy!$A:$D,4,0)="","",VLOOKUP(A2,Adequacy!$A:$D,4,0)),"")</calculatedColumnFormula>
    </tableColumn>
    <tableColumn id="15" xr3:uid="{00000000-0010-0000-0000-00000F000000}" name="Population_Served" dataDxfId="156">
      <calculatedColumnFormula>IFERROR(IF(VLOOKUP(A2,Adequacy!$A:$E,5,0)="","",VLOOKUP(A2,Adequacy!$A:$E,5,0)),"")</calculatedColumnFormula>
    </tableColumn>
    <tableColumn id="16" xr3:uid="{00000000-0010-0000-0000-000010000000}" name="Actual_LPCD" dataDxfId="155">
      <calculatedColumnFormula>IFERROR(IF(VLOOKUP(A2,Adequacy!$A:$G,7,0)="","",VLOOKUP(A2,Adequacy!$A:$G,7,0)),"")</calculatedColumnFormula>
    </tableColumn>
    <tableColumn id="17" xr3:uid="{00000000-0010-0000-0000-000011000000}" name="Target_LPCD" dataDxfId="154">
      <calculatedColumnFormula>IFERROR(IF(VLOOKUP(A2,Adequacy!$A:$H,8,0)="","",VLOOKUP(A2,Adequacy!$A:$H,8,0)),"")</calculatedColumnFormula>
    </tableColumn>
    <tableColumn id="18" xr3:uid="{00000000-0010-0000-0000-000012000000}" name="Adequacy_Score" dataDxfId="153">
      <calculatedColumnFormula>IFERROR(IF(VLOOKUP(A2,Adequacy!$A:$J,10,0)="","",VLOOKUP(A2,Adequacy!$A:$J,10,0)),"")</calculatedColumnFormula>
    </tableColumn>
    <tableColumn id="19" xr3:uid="{00000000-0010-0000-0000-000013000000}" name="WQ_Testing" dataDxfId="152">
      <calculatedColumnFormula>IFERROR(IF(VLOOKUP(A2,'Water Quality Score'!$A:$C,3,0)="","",VLOOKUP(A2,'Water Quality Score'!$A:$C,3,0)),"")</calculatedColumnFormula>
    </tableColumn>
    <tableColumn id="20" xr3:uid="{00000000-0010-0000-0000-000014000000}" name="WQ_EColi" dataDxfId="151">
      <calculatedColumnFormula>IFERROR(IF(VLOOKUP(A2,'Water Quality Score'!$A:$D,4,0)="","",VLOOKUP(A2,'Water Quality Score'!$A:$D,4,0)),"")</calculatedColumnFormula>
    </tableColumn>
    <tableColumn id="21" xr3:uid="{00000000-0010-0000-0000-000015000000}" name="WQ_Arsenic" dataDxfId="150">
      <calculatedColumnFormula>IFERROR(IF(VLOOKUP(A2,'Water Quality Score'!$A:$E,5,0)="","",VLOOKUP(A2,'Water Quality Score'!$A:$E,5,0)),"")</calculatedColumnFormula>
    </tableColumn>
    <tableColumn id="22" xr3:uid="{00000000-0010-0000-0000-000016000000}" name="WQ_Score" dataDxfId="149">
      <calculatedColumnFormula>IFERROR(IF(VLOOKUP(A2,'Water Quality Score'!$A:$F,6,0)="","",VLOOKUP(A2,'Water Quality Score'!$A:$F,6,0)),"")</calculatedColumnFormula>
    </tableColumn>
    <tableColumn id="23" xr3:uid="{00000000-0010-0000-0000-000017000000}" name="Hours_of_Supply" dataDxfId="148">
      <calculatedColumnFormula>IFERROR(IF(VLOOKUP(A2,'Reliability score'!$A:$C,3,0)="","",VLOOKUP(A2,'Reliability score'!$A:$C,3,0)),"")</calculatedColumnFormula>
    </tableColumn>
    <tableColumn id="24" xr3:uid="{00000000-0010-0000-0000-000018000000}" name="Reliability_Score" dataDxfId="147">
      <calculatedColumnFormula>IFERROR(IF(VLOOKUP(A2,'Reliability score'!$A:$D,4,0)="","",VLOOKUP(A2,'Reliability score'!$A:$D,4,0)),"")</calculatedColumnFormula>
    </tableColumn>
    <tableColumn id="25" xr3:uid="{00000000-0010-0000-0000-000019000000}" name="NRW_Logbook" dataDxfId="146">
      <calculatedColumnFormula>IFERROR(IF(VLOOKUP(A2,NRW!$A:$C,3,0)="","",VLOOKUP(A2,NRW!$A:$C,3,0)),"")</calculatedColumnFormula>
    </tableColumn>
    <tableColumn id="26" xr3:uid="{00000000-0010-0000-0000-00001A000000}" name="NRW_Flow_Measurement" dataDxfId="145">
      <calculatedColumnFormula>IFERROR(IF(VLOOKUP(A2,NRW!$A:$D,4,0)="","",VLOOKUP(A2,NRW!$A:$D,4,0)),"")</calculatedColumnFormula>
    </tableColumn>
    <tableColumn id="27" xr3:uid="{00000000-0010-0000-0000-00001B000000}" name="NRW_Reservoir_Scale" dataDxfId="144">
      <calculatedColumnFormula>IFERROR(IF(VLOOKUP(A2,NRW!$A:$E,5,0)="","",VLOOKUP(A2,NRW!$A:$E,5,0)),"")</calculatedColumnFormula>
    </tableColumn>
    <tableColumn id="28" xr3:uid="{00000000-0010-0000-0000-00001C000000}" name="NRW_Flow_Meters" dataDxfId="143">
      <calculatedColumnFormula>IFERROR(IF(VLOOKUP(A2,NRW!$A:$F,6,0)="","",VLOOKUP(A2,NRW!$A:$F,6,0)),"")</calculatedColumnFormula>
    </tableColumn>
    <tableColumn id="29" xr3:uid="{00000000-0010-0000-0000-00001D000000}" name="NRW_DMA" dataDxfId="142">
      <calculatedColumnFormula>IFERROR(IF(VLOOKUP(A2,NRW!$A:$G,7,0)="","",VLOOKUP(A2,NRW!$A:$G,7,0)),"")</calculatedColumnFormula>
    </tableColumn>
    <tableColumn id="47" xr3:uid="{00000000-0010-0000-0000-00002F000000}" name="NRW_Score" dataDxfId="141">
      <calculatedColumnFormula>IFERROR(IF(OR(VLOOKUP(A2,NRW!$A:$H,8,0)="",VLOOKUP(A2,NRW!$A:$H,8,0)=0),"",VLOOKUP(A2,NRW!$A:$H,8,0)),"")</calculatedColumnFormula>
    </tableColumn>
    <tableColumn id="30" xr3:uid="{00000000-0010-0000-0000-00001E000000}" name="Expenditure" dataDxfId="140">
      <calculatedColumnFormula>IFERROR(IF(VLOOKUP(A2,'O&amp;M score'!$A:$D,4,0)="","",VLOOKUP(A2,'O&amp;M score'!$A:$D,4,0)),"")</calculatedColumnFormula>
    </tableColumn>
    <tableColumn id="31" xr3:uid="{00000000-0010-0000-0000-00001F000000}" name="Income" dataDxfId="139">
      <calculatedColumnFormula>IFERROR(IF(VLOOKUP(A2,'O&amp;M score'!$A:$E,5,0)="","",VLOOKUP(A2,'O&amp;M score'!$A:$E,5,0)),"")</calculatedColumnFormula>
    </tableColumn>
    <tableColumn id="32" xr3:uid="{00000000-0010-0000-0000-000020000000}" name="Operating_Ratio" dataDxfId="138">
      <calculatedColumnFormula>IFERROR(IF(VLOOKUP(A2,'O&amp;M score'!$A:$F,6,0)="","",VLOOKUP(A2,'O&amp;M score'!$A:$F,6,0)),"")</calculatedColumnFormula>
    </tableColumn>
    <tableColumn id="33" xr3:uid="{00000000-0010-0000-0000-000021000000}" name="OM_Score" dataDxfId="137">
      <calculatedColumnFormula>IFERROR(IF(VLOOKUP(A2,'O&amp;M score'!$A:$G,7,0)="","",VLOOKUP(A2,'O&amp;M score'!$A:$G,7,0)),"")</calculatedColumnFormula>
    </tableColumn>
    <tableColumn id="34" xr3:uid="{00000000-0010-0000-0000-000022000000}" name="Metered_Connections" dataDxfId="136">
      <calculatedColumnFormula>IFERROR(IF(VLOOKUP(A2,'Metering Ratio Score'!$A:$C,3,0)="","",VLOOKUP(A2,'Metering Ratio Score'!$A:$C,3,0)),"")</calculatedColumnFormula>
    </tableColumn>
    <tableColumn id="35" xr3:uid="{00000000-0010-0000-0000-000023000000}" name="Total_Connections" dataDxfId="135">
      <calculatedColumnFormula>IFERROR(IF(VLOOKUP(A2,'Metering Ratio Score'!$A:$D,4,0)="","",VLOOKUP(A2,'Metering Ratio Score'!$A:$D,4,0)),"")</calculatedColumnFormula>
    </tableColumn>
    <tableColumn id="36" xr3:uid="{00000000-0010-0000-0000-000024000000}" name="Metering_Pct" dataDxfId="134">
      <calculatedColumnFormula>IFERROR(IF(VLOOKUP(A2,'Metering Ratio Score'!$A:$E,5,0)="","",VLOOKUP(A2,'Metering Ratio Score'!$A:$E,5,0)),"")</calculatedColumnFormula>
    </tableColumn>
    <tableColumn id="37" xr3:uid="{00000000-0010-0000-0000-000025000000}" name="Metering_Score" dataDxfId="133">
      <calculatedColumnFormula>IFERROR(IF(VLOOKUP(A2,'Metering Ratio Score'!$A:$F,6,0)="","",VLOOKUP(A2,'Metering Ratio Score'!$A:$F,6,0)),"")</calculatedColumnFormula>
    </tableColumn>
    <tableColumn id="38" xr3:uid="{00000000-0010-0000-0000-000026000000}" name="Grievance_Logbook" dataDxfId="132">
      <calculatedColumnFormula>IFERROR(IF(VLOOKUP(A2,'Grievance Addressal'!$A:$C,3,0)="","",VLOOKUP(A2,'Grievance Addressal'!$A:$C,3,0)),"")</calculatedColumnFormula>
    </tableColumn>
    <tableColumn id="39" xr3:uid="{00000000-0010-0000-0000-000027000000}" name="Grievance_Mechanism" dataDxfId="131">
      <calculatedColumnFormula>IFERROR(IF(VLOOKUP(A2,'Grievance Addressal'!$A:$D,4,0)="","",VLOOKUP(A2,'Grievance Addressal'!$A:$D,4,0)),"")</calculatedColumnFormula>
    </tableColumn>
    <tableColumn id="40" xr3:uid="{00000000-0010-0000-0000-000028000000}" name="Grievance_Score" dataDxfId="130">
      <calculatedColumnFormula>IFERROR(IF(VLOOKUP(A2,'Grievance Addressal'!$A:$E,5,0)="","",VLOOKUP(A2,'Grievance Addressal'!$A:$E,5,0)),"")</calculatedColumnFormula>
    </tableColumn>
    <tableColumn id="41" xr3:uid="{00000000-0010-0000-0000-000029000000}" name="SPI_Pct" dataDxfId="129">
      <calculatedColumnFormula>IFERROR(IF(VLOOKUP(A2,Summary_Index!$A$5:$N$281,7,0)="","",VLOOKUP(A2,Summary_Index!$A$5:$N$281,7,0)),"")</calculatedColumnFormula>
    </tableColumn>
    <tableColumn id="42" xr3:uid="{00000000-0010-0000-0000-00002A000000}" name="OEI_Pct" dataDxfId="128">
      <calculatedColumnFormula>IFERROR(IF(VLOOKUP(A2,Summary_Index!$A$5:$N$281,12,0)="","",VLOOKUP(A2,Summary_Index!$A$5:$N$281,12,0)),"")</calculatedColumnFormula>
    </tableColumn>
    <tableColumn id="43" xr3:uid="{00000000-0010-0000-0000-00002B000000}" name="Category_Number" dataDxfId="127">
      <calculatedColumnFormula>IFERROR(IF(VLOOKUP(A2,Summary_Index!$A$5:$N$281,13,0)="","",VLOOKUP(A2,Summary_Index!$A$5:$N$281,13,0)),"")</calculatedColumnFormula>
    </tableColumn>
    <tableColumn id="44" xr3:uid="{00000000-0010-0000-0000-00002C000000}" name="Category_Level" dataDxfId="126">
      <calculatedColumnFormula>IFERROR(IF(VLOOKUP(A2,Summary_Index!$A$5:$N$281,14,0)="","",VLOOKUP(A2,Summary_Index!$A$5:$N$281,14,0)),"")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patial" displayName="tbl_Spatial" ref="A1:H72" totalsRowShown="0" headerRowDxfId="1" dataDxfId="0">
  <autoFilter ref="A1:H72" xr:uid="{00000000-0009-0000-0100-000002000000}"/>
  <tableColumns count="8">
    <tableColumn id="1" xr3:uid="{00000000-0010-0000-0100-000001000000}" name="WSUC_ID" dataDxfId="9"/>
    <tableColumn id="2" xr3:uid="{00000000-0010-0000-0100-000002000000}" name="WSUC_Name" dataDxfId="8"/>
    <tableColumn id="3" xr3:uid="{00000000-0010-0000-0100-000003000000}" name="Province_Name" dataDxfId="7"/>
    <tableColumn id="4" xr3:uid="{00000000-0010-0000-0100-000004000000}" name="District_Name" dataDxfId="6"/>
    <tableColumn id="5" xr3:uid="{00000000-0010-0000-0100-000005000000}" name="Municipality_Type" dataDxfId="5"/>
    <tableColumn id="6" xr3:uid="{00000000-0010-0000-0100-000006000000}" name="Municipality_Name" dataDxfId="4"/>
    <tableColumn id="7" xr3:uid="{00000000-0010-0000-0100-000007000000}" name="Wards_Covered" dataDxfId="3"/>
    <tableColumn id="8" xr3:uid="{7421D9EA-B763-4D2F-8C32-19F46A178E5A}" name="Name" dataDxfId="2">
      <calculatedColumnFormula array="1">_FV(tbl_Spatial[[#This Row],[District_Name]],"Name")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verage" displayName="tbl_Coverage" ref="A1:H85" totalsRowShown="0" headerRowDxfId="16" dataDxfId="15">
  <autoFilter ref="A1:H85" xr:uid="{00000000-0009-0000-0100-000003000000}"/>
  <tableColumns count="8">
    <tableColumn id="1" xr3:uid="{00000000-0010-0000-0200-000001000000}" name="WSUC_ID" dataDxfId="24"/>
    <tableColumn id="8" xr3:uid="{00000000-0010-0000-0200-000008000000}" name="WSUC_Name" dataDxfId="23"/>
    <tableColumn id="2" xr3:uid="{00000000-0010-0000-0200-000002000000}" name="Prerequisite: Does Business Plan exist?" dataDxfId="22"/>
    <tableColumn id="3" xr3:uid="{00000000-0010-0000-0200-000003000000}" name="Households_Served()" dataDxfId="21"/>
    <tableColumn id="4" xr3:uid="{00000000-0010-0000-0200-000004000000}" name="Total_Households" dataDxfId="20"/>
    <tableColumn id="5" xr3:uid="{00000000-0010-0000-0200-000005000000}" name="Coverage%" dataDxfId="19"/>
    <tableColumn id="6" xr3:uid="{00000000-0010-0000-0200-000006000000}" name="Computed_Score" dataDxfId="18"/>
    <tableColumn id="7" xr3:uid="{00000000-0010-0000-0200-000007000000}" name="Interpretation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J4:L7" totalsRowShown="0" headerRowDxfId="11" dataDxfId="10" tableBorderDxfId="125">
  <tableColumns count="3">
    <tableColumn id="1" xr3:uid="{00000000-0010-0000-0300-000001000000}" name="C Range (%)" dataDxfId="14"/>
    <tableColumn id="2" xr3:uid="{00000000-0010-0000-0300-000002000000}" name="Computed Score / Weight" dataDxfId="13"/>
    <tableColumn id="3" xr3:uid="{00000000-0010-0000-0300-000003000000}" name="Performance Interpretation" dataDxfId="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K87" totalsRowShown="0" headerRowDxfId="36" dataDxfId="35">
  <autoFilter ref="A1:K87" xr:uid="{00000000-0009-0000-0100-000005000000}"/>
  <tableColumns count="11">
    <tableColumn id="1" xr3:uid="{00000000-0010-0000-0400-000001000000}" name="WSUC_ID" dataDxfId="47"/>
    <tableColumn id="11" xr3:uid="{00000000-0010-0000-0400-00000B000000}" name="WSUC_Name" dataDxfId="46"/>
    <tableColumn id="2" xr3:uid="{00000000-0010-0000-0400-000002000000}" name="Scheme_Type" dataDxfId="45"/>
    <tableColumn id="3" xr3:uid="{00000000-0010-0000-0400-000003000000}" name="Billed_Volume(m3)" dataDxfId="44"/>
    <tableColumn id="4" xr3:uid="{00000000-0010-0000-0400-000004000000}" name="Population_served" dataDxfId="43"/>
    <tableColumn id="5" xr3:uid="{00000000-0010-0000-0400-000005000000}" name="Days" dataDxfId="42"/>
    <tableColumn id="6" xr3:uid="{00000000-0010-0000-0400-000006000000}" name="Actual_LPCD" dataDxfId="41"/>
    <tableColumn id="7" xr3:uid="{00000000-0010-0000-0400-000007000000}" name="Target_LPCD" dataDxfId="40"/>
    <tableColumn id="8" xr3:uid="{00000000-0010-0000-0400-000008000000}" name="LPCD %" dataDxfId="39"/>
    <tableColumn id="9" xr3:uid="{00000000-0010-0000-0400-000009000000}" name="Computed_score" dataDxfId="38"/>
    <tableColumn id="10" xr3:uid="{00000000-0010-0000-0400-00000A000000}" name="Interpretation" dataDxfId="3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66:C169" totalsRowShown="0" headerRowDxfId="31" dataDxfId="30" tableBorderDxfId="124">
  <tableColumns count="3">
    <tableColumn id="1" xr3:uid="{00000000-0010-0000-0500-000001000000}" name="LPCD Range (%)" dataDxfId="34"/>
    <tableColumn id="2" xr3:uid="{00000000-0010-0000-0500-000002000000}" name="Computed Score/ weight" dataDxfId="33"/>
    <tableColumn id="3" xr3:uid="{00000000-0010-0000-0500-000003000000}" name="Performance Interpretation" dataDxfId="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1" displayName="Table11" ref="E166:G169" totalsRowShown="0" headerRowDxfId="26" dataDxfId="25">
  <tableColumns count="3">
    <tableColumn id="1" xr3:uid="{00000000-0010-0000-0600-000001000000}" name="PCC Range (%)" dataDxfId="29"/>
    <tableColumn id="2" xr3:uid="{00000000-0010-0000-0600-000002000000}" name="Computed Score/weight" dataDxfId="28"/>
    <tableColumn id="3" xr3:uid="{00000000-0010-0000-0600-000003000000}" name="Performance Interpretation" dataDxfId="2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WaterQuality" displayName="tbl_WaterQuality" ref="A1:J84" totalsRowShown="0" headerRowDxfId="55" dataDxfId="54">
  <autoFilter ref="A1:J84" xr:uid="{00000000-0009-0000-0100-000008000000}"/>
  <tableColumns count="10">
    <tableColumn id="1" xr3:uid="{00000000-0010-0000-0700-000001000000}" name="WSUC_ID" dataDxfId="65"/>
    <tableColumn id="10" xr3:uid="{00000000-0010-0000-0700-00000A000000}" name="WSUC_Name" dataDxfId="64"/>
    <tableColumn id="2" xr3:uid="{00000000-0010-0000-0700-000002000000}" name="Testing_Conducted" dataDxfId="63"/>
    <tableColumn id="3" xr3:uid="{00000000-0010-0000-0700-000003000000}" name="E.Coli_Compliance" dataDxfId="62"/>
    <tableColumn id="4" xr3:uid="{00000000-0010-0000-0700-000004000000}" name="Arsenic_Compliance" dataDxfId="61"/>
    <tableColumn id="5" xr3:uid="{00000000-0010-0000-0700-000005000000}" name="Quality_Score" dataDxfId="60"/>
    <tableColumn id="6" xr3:uid="{00000000-0010-0000-0700-000006000000}" name="Interpretation" dataDxfId="59"/>
    <tableColumn id="7" xr3:uid="{00000000-0010-0000-0700-000007000000}" name="Testing_score" dataDxfId="58"/>
    <tableColumn id="8" xr3:uid="{00000000-0010-0000-0700-000008000000}" name="E.coli_score" dataDxfId="57"/>
    <tableColumn id="9" xr3:uid="{00000000-0010-0000-0700-000009000000}" name="Arsenic_score" dataDxfId="5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2" displayName="Table12" ref="O3:R6" totalsRowShown="0" headerRowDxfId="49" dataDxfId="48">
  <tableColumns count="4">
    <tableColumn id="1" xr3:uid="{00000000-0010-0000-0800-000001000000}" name="Sub-Indicator" dataDxfId="53"/>
    <tableColumn id="2" xr3:uid="{00000000-0010-0000-0800-000002000000}" name="Assessment Criterion" dataDxfId="52"/>
    <tableColumn id="3" xr3:uid="{00000000-0010-0000-0800-000003000000}" name="Condition for Compliance" dataDxfId="51"/>
    <tableColumn id="4" xr3:uid="{00000000-0010-0000-0800-000004000000}" name="Assigned Weight" dataDxfId="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Reliability" displayName="tbl_Reliability" ref="A1:F90" totalsRowShown="0" headerRowDxfId="72" dataDxfId="71">
  <autoFilter ref="A1:F90" xr:uid="{00000000-0009-0000-0100-00000A000000}"/>
  <tableColumns count="6">
    <tableColumn id="1" xr3:uid="{00000000-0010-0000-0900-000001000000}" name="WSUC_ID" dataDxfId="78"/>
    <tableColumn id="6" xr3:uid="{00000000-0010-0000-0900-000006000000}" name="WSUC_Name" dataDxfId="77"/>
    <tableColumn id="2" xr3:uid="{00000000-0010-0000-0900-000002000000}" name="Hours_of_Supply(H)" dataDxfId="76"/>
    <tableColumn id="3" xr3:uid="{00000000-0010-0000-0900-000003000000}" name="Reliability_score" dataDxfId="75"/>
    <tableColumn id="4" xr3:uid="{00000000-0010-0000-0900-000004000000}" name="Interpretation" dataDxfId="74"/>
    <tableColumn id="5" xr3:uid="{00000000-0010-0000-0900-000005000000}" name="Remarks" dataDxfId="7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7" displayName="Table17" ref="J3:L7" totalsRowShown="0" headerRowDxfId="67" dataDxfId="66" tableBorderDxfId="123">
  <tableColumns count="3">
    <tableColumn id="1" xr3:uid="{00000000-0010-0000-0A00-000001000000}" name="Hours of Supply (H)" dataDxfId="70"/>
    <tableColumn id="2" xr3:uid="{00000000-0010-0000-0A00-000002000000}" name="Score" dataDxfId="69"/>
    <tableColumn id="3" xr3:uid="{00000000-0010-0000-0A00-000003000000}" name="Interpretation" dataDxfId="68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6" displayName="Table16" ref="N7:Q12" totalsRowShown="0" headerRowDxfId="80" dataDxfId="79">
  <tableColumns count="4">
    <tableColumn id="1" xr3:uid="{00000000-0010-0000-0B00-000001000000}" name="Tier" dataDxfId="84"/>
    <tableColumn id="2" xr3:uid="{00000000-0010-0000-0B00-000002000000}" name="Description " dataDxfId="83"/>
    <tableColumn id="3" xr3:uid="{00000000-0010-0000-0B00-000003000000}" name="Weight" dataDxfId="82"/>
    <tableColumn id="4" xr3:uid="{00000000-0010-0000-0B00-000004000000}" name="Score Rule" dataDxfId="8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5" displayName="Table15" ref="L3:N6" totalsRowShown="0" headerRowDxfId="86" dataDxfId="85" tableBorderDxfId="122">
  <tableColumns count="3">
    <tableColumn id="1" xr3:uid="{00000000-0010-0000-0C00-000001000000}" name="OR Range" dataDxfId="89"/>
    <tableColumn id="2" xr3:uid="{00000000-0010-0000-0C00-000002000000}" name="Computed Score / Weight" dataDxfId="88"/>
    <tableColumn id="3" xr3:uid="{00000000-0010-0000-0C00-000003000000}" name="Performance Interpretation" dataDxfId="87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Metering" displayName="tbl_Metering" ref="A1:G87" totalsRowShown="0" headerRowDxfId="96" dataDxfId="95">
  <autoFilter ref="A1:G87" xr:uid="{00000000-0009-0000-0100-00000E000000}"/>
  <tableColumns count="7">
    <tableColumn id="1" xr3:uid="{00000000-0010-0000-0D00-000001000000}" name="WSUC_ID" dataDxfId="103"/>
    <tableColumn id="7" xr3:uid="{00000000-0010-0000-0D00-000007000000}" name="WSUC_Name" dataDxfId="102"/>
    <tableColumn id="2" xr3:uid="{00000000-0010-0000-0D00-000002000000}" name="Functional_Metered_Connections" dataDxfId="101"/>
    <tableColumn id="3" xr3:uid="{00000000-0010-0000-0D00-000003000000}" name="Total_Metered_Connections" dataDxfId="100"/>
    <tableColumn id="4" xr3:uid="{00000000-0010-0000-0D00-000004000000}" name="MR%" dataDxfId="99"/>
    <tableColumn id="5" xr3:uid="{00000000-0010-0000-0D00-000005000000}" name="Computed_Score" dataDxfId="98"/>
    <tableColumn id="6" xr3:uid="{00000000-0010-0000-0D00-000006000000}" name="Interpretation" dataDxfId="9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4" displayName="Table14" ref="K3:M6" totalsRowShown="0" headerRowDxfId="91" dataDxfId="90">
  <tableColumns count="3">
    <tableColumn id="1" xr3:uid="{00000000-0010-0000-0E00-000001000000}" name="MR Range (%)" dataDxfId="94"/>
    <tableColumn id="2" xr3:uid="{00000000-0010-0000-0E00-000002000000}" name="Computed Score / Weight" dataDxfId="93"/>
    <tableColumn id="3" xr3:uid="{00000000-0010-0000-0E00-000003000000}" name="Performance Interpretation" dataDxfId="92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0" displayName="Table10" ref="A1:F86" totalsRowShown="0" headerRowDxfId="110" dataDxfId="109">
  <autoFilter ref="A1:F86" xr:uid="{00000000-0009-0000-0100-000010000000}"/>
  <tableColumns count="6">
    <tableColumn id="1" xr3:uid="{00000000-0010-0000-0F00-000001000000}" name="WSUC_ID" dataDxfId="116"/>
    <tableColumn id="6" xr3:uid="{00000000-0010-0000-0F00-000006000000}" name="WSUC_Name" dataDxfId="115"/>
    <tableColumn id="2" xr3:uid="{00000000-0010-0000-0F00-000002000000}" name="Log_Book_Maintained?" dataDxfId="114"/>
    <tableColumn id="3" xr3:uid="{00000000-0010-0000-0F00-000003000000}" name="Grievance_Mechanism_Exists?" dataDxfId="113"/>
    <tableColumn id="4" xr3:uid="{00000000-0010-0000-0F00-000004000000}" name="Computed_score" dataDxfId="112">
      <calculatedColumnFormula>IF(OR(C2="",D2="")," ",IF(UPPER(C2)="YES",IF(UPPER(D2)="YES",1,0),0))</calculatedColumnFormula>
    </tableColumn>
    <tableColumn id="5" xr3:uid="{00000000-0010-0000-0F00-000005000000}" name="Interpretation" dataDxfId="11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3" displayName="Table13" ref="J3:L5" totalsRowShown="0" headerRowDxfId="105" dataDxfId="104" tableBorderDxfId="121">
  <tableColumns count="3">
    <tableColumn id="1" xr3:uid="{00000000-0010-0000-1000-000001000000}" name="Criteria" dataDxfId="108"/>
    <tableColumn id="2" xr3:uid="{00000000-0010-0000-1000-000002000000}" name="Computed Score / Weight" dataDxfId="107"/>
    <tableColumn id="3" xr3:uid="{00000000-0010-0000-1000-000003000000}" name="Performance Interpretation" dataDxfId="10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95"/>
  <sheetViews>
    <sheetView workbookViewId="0">
      <selection activeCell="B47" sqref="B47"/>
    </sheetView>
  </sheetViews>
  <sheetFormatPr defaultRowHeight="45.6" customHeight="1" x14ac:dyDescent="0.3"/>
  <cols>
    <col min="1" max="1" width="10.6640625" customWidth="1"/>
    <col min="2" max="2" width="36.33203125" style="29" customWidth="1"/>
    <col min="3" max="3" width="11.5546875" customWidth="1"/>
    <col min="4" max="4" width="11.6640625" customWidth="1"/>
    <col min="5" max="5" width="17.88671875" customWidth="1"/>
    <col min="6" max="6" width="19" customWidth="1"/>
    <col min="7" max="7" width="24.44140625" style="27" customWidth="1"/>
    <col min="8" max="9" width="24.44140625" customWidth="1"/>
    <col min="10" max="10" width="20.6640625" customWidth="1"/>
    <col min="11" max="11" width="12.109375" customWidth="1"/>
    <col min="12" max="12" width="11.33203125" customWidth="1"/>
    <col min="13" max="13" width="14.109375" customWidth="1"/>
    <col min="14" max="14" width="16.109375" customWidth="1"/>
    <col min="15" max="15" width="14.33203125" customWidth="1"/>
    <col min="16" max="16" width="14.88671875" customWidth="1"/>
    <col min="17" max="17" width="18.44140625" customWidth="1"/>
    <col min="18" max="18" width="13.44140625" customWidth="1"/>
    <col min="19" max="19" width="13.21875" customWidth="1"/>
    <col min="20" max="20" width="16.6640625" customWidth="1"/>
    <col min="21" max="21" width="12.5546875" customWidth="1"/>
    <col min="22" max="22" width="11" customWidth="1"/>
    <col min="23" max="23" width="12.88671875" customWidth="1"/>
    <col min="24" max="24" width="11.44140625" customWidth="1"/>
    <col min="25" max="25" width="16.6640625" customWidth="1"/>
    <col min="26" max="26" width="17" customWidth="1"/>
    <col min="27" max="27" width="14.6640625" customWidth="1"/>
    <col min="28" max="28" width="23.77734375" customWidth="1"/>
    <col min="29" max="29" width="21" customWidth="1"/>
    <col min="30" max="30" width="18.109375" customWidth="1"/>
    <col min="31" max="32" width="11.5546875" customWidth="1"/>
    <col min="33" max="33" width="12.88671875" customWidth="1"/>
    <col min="34" max="34" width="12.109375" customWidth="1"/>
    <col min="35" max="35" width="16.21875" customWidth="1"/>
    <col min="36" max="36" width="11.21875" customWidth="1"/>
    <col min="37" max="37" width="20.88671875" customWidth="1"/>
    <col min="38" max="38" width="18.109375" customWidth="1"/>
    <col min="39" max="39" width="13.6640625" customWidth="1"/>
    <col min="40" max="40" width="15.6640625" customWidth="1"/>
    <col min="41" max="41" width="19" customWidth="1"/>
    <col min="42" max="42" width="21.6640625" customWidth="1"/>
    <col min="43" max="43" width="21.109375" customWidth="1"/>
    <col min="44" max="44" width="10.77734375" customWidth="1"/>
    <col min="45" max="45" width="9.33203125" customWidth="1"/>
    <col min="46" max="46" width="17.77734375" customWidth="1"/>
    <col min="47" max="47" width="30" customWidth="1"/>
    <col min="48" max="48" width="15" customWidth="1"/>
  </cols>
  <sheetData>
    <row r="1" spans="1:48" ht="45.6" customHeight="1" x14ac:dyDescent="0.3">
      <c r="A1" t="s">
        <v>0</v>
      </c>
      <c r="B1" s="29" t="s">
        <v>1</v>
      </c>
      <c r="C1" t="s">
        <v>5</v>
      </c>
      <c r="D1" t="s">
        <v>6</v>
      </c>
      <c r="E1" t="s">
        <v>7</v>
      </c>
      <c r="F1" t="s">
        <v>8</v>
      </c>
      <c r="G1" s="27" t="s">
        <v>9</v>
      </c>
      <c r="H1" t="s">
        <v>2</v>
      </c>
      <c r="I1" t="s">
        <v>3</v>
      </c>
      <c r="J1" t="s">
        <v>4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0" t="s">
        <v>28</v>
      </c>
      <c r="AD1" s="10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0" t="s">
        <v>41</v>
      </c>
      <c r="AQ1" s="10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t="45.6" customHeight="1" x14ac:dyDescent="0.3">
      <c r="A2" s="37">
        <f>Spatial!A2</f>
        <v>1</v>
      </c>
      <c r="B2" s="37" t="str">
        <f>Spatial!B2</f>
        <v>Lubhu_WSUC</v>
      </c>
      <c r="C2" s="37" t="str">
        <f>Spatial!C2</f>
        <v>Bagmati</v>
      </c>
      <c r="D2" s="37" t="str">
        <f>Spatial!D2</f>
        <v>Lalitpur District, Nepal</v>
      </c>
      <c r="E2" s="37" t="str">
        <f>Spatial!E2</f>
        <v>Municipality</v>
      </c>
      <c r="F2" s="37" t="str">
        <f>Spatial!F2</f>
        <v>Mahalaxmi</v>
      </c>
      <c r="G2" s="37">
        <f>IFERROR(Spatial!G2,"")</f>
        <v>0</v>
      </c>
      <c r="H2" s="49">
        <v>27.623100000000001</v>
      </c>
      <c r="I2" s="37">
        <v>85.381399999999999</v>
      </c>
      <c r="J2" s="37" t="str">
        <f t="shared" ref="J2:J65" si="0">F2&amp;"_"&amp;D2</f>
        <v>Mahalaxmi_Lalitpur District, Nepal</v>
      </c>
      <c r="K2" s="51" t="str">
        <f>IFERROR(IF(VLOOKUP(A2,'Service Coverage'!$A:$C,3,0)="","",VLOOKUP(A2,'Service Coverage'!$A:$C,3,0)),"")</f>
        <v>Yes</v>
      </c>
      <c r="L2" s="51">
        <f>IFERROR(IF(VLOOKUP(A2,'Service Coverage'!$A:$D,4,0)="","",VLOOKUP(A2,'Service Coverage'!$A:$D,4,0)),"")</f>
        <v>2065</v>
      </c>
      <c r="M2" s="51" t="str">
        <f>IFERROR(IF(VLOOKUP(A2,'Service Coverage'!$A:$E,5,0)="","",VLOOKUP(A2,'Service Coverage'!$A:$E,5,0)),"")</f>
        <v/>
      </c>
      <c r="N2" s="51" t="str">
        <f>IFERROR(IF(VLOOKUP(A2,'Service Coverage'!$A:$F,6,0)="","",VLOOKUP(A2,'Service Coverage'!$A:$F,6,0)),"")</f>
        <v/>
      </c>
      <c r="O2" s="51" t="str">
        <f>IFERROR(IF(VLOOKUP(A2,'Service Coverage'!$A:$G,7,0)="","",VLOOKUP(A2,'Service Coverage'!$A:$G,7,0)),"")</f>
        <v/>
      </c>
      <c r="P2" s="51" t="str">
        <f>IFERROR(IF(VLOOKUP(A2,Adequacy!$A:$C,3,0)="","",VLOOKUP(A2,Adequacy!$A:$C,3,0)),"")</f>
        <v/>
      </c>
      <c r="Q2" s="51">
        <f>IFERROR(IF(VLOOKUP(A2,Adequacy!$A:$D,4,0)="","",VLOOKUP(A2,Adequacy!$A:$D,4,0)),"")</f>
        <v>1500</v>
      </c>
      <c r="R2" s="51" t="str">
        <f>IFERROR(IF(VLOOKUP(A2,Adequacy!$A:$E,5,0)="","",VLOOKUP(A2,Adequacy!$A:$E,5,0)),"")</f>
        <v/>
      </c>
      <c r="S2" s="51" t="str">
        <f>IFERROR(IF(VLOOKUP(A2,Adequacy!$A:$G,7,0)="","",VLOOKUP(A2,Adequacy!$A:$G,7,0)),"")</f>
        <v/>
      </c>
      <c r="T2" s="51" t="str">
        <f>IFERROR(IF(VLOOKUP(A2,Adequacy!$A:$H,8,0)="","",VLOOKUP(A2,Adequacy!$A:$H,8,0)),"")</f>
        <v xml:space="preserve"> </v>
      </c>
      <c r="U2" s="51" t="str">
        <f>IFERROR(IF(VLOOKUP(A2,Adequacy!$A:$J,10,0)="","",VLOOKUP(A2,Adequacy!$A:$J,10,0)),"")</f>
        <v/>
      </c>
      <c r="V2" s="51" t="str">
        <f>IFERROR(IF(VLOOKUP(A2,'Water Quality Score'!$A:$C,3,0)="","",VLOOKUP(A2,'Water Quality Score'!$A:$C,3,0)),"")</f>
        <v>yes</v>
      </c>
      <c r="W2" s="51" t="str">
        <f>IFERROR(IF(VLOOKUP(A2,'Water Quality Score'!$A:$D,4,0)="","",VLOOKUP(A2,'Water Quality Score'!$A:$D,4,0)),"")</f>
        <v/>
      </c>
      <c r="X2" s="51" t="str">
        <f>IFERROR(IF(VLOOKUP(A2,'Water Quality Score'!$A:$E,5,0)="","",VLOOKUP(A2,'Water Quality Score'!$A:$E,5,0)),"")</f>
        <v/>
      </c>
      <c r="Y2" s="51">
        <f>IFERROR(IF(VLOOKUP(A2,'Water Quality Score'!$A:$F,6,0)="","",VLOOKUP(A2,'Water Quality Score'!$A:$F,6,0)),"")</f>
        <v>0.2</v>
      </c>
      <c r="Z2" s="51">
        <f>IFERROR(IF(VLOOKUP(A2,'Reliability score'!$A:$C,3,0)="","",VLOOKUP(A2,'Reliability score'!$A:$C,3,0)),"")</f>
        <v>24</v>
      </c>
      <c r="AA2" s="51">
        <f>IFERROR(IF(VLOOKUP(A2,'Reliability score'!$A:$D,4,0)="","",VLOOKUP(A2,'Reliability score'!$A:$D,4,0)),"")</f>
        <v>1</v>
      </c>
      <c r="AB2" s="51" t="str">
        <f>IFERROR(IF(VLOOKUP(A2,NRW!$A:$C,3,0)="","",VLOOKUP(A2,NRW!$A:$C,3,0)),"")</f>
        <v/>
      </c>
      <c r="AC2" s="51" t="str">
        <f>IFERROR(IF(VLOOKUP(A2,NRW!$A:$D,4,0)="","",VLOOKUP(A2,NRW!$A:$D,4,0)),"")</f>
        <v/>
      </c>
      <c r="AD2" s="51" t="str">
        <f>IFERROR(IF(VLOOKUP(A2,NRW!$A:$E,5,0)="","",VLOOKUP(A2,NRW!$A:$E,5,0)),"")</f>
        <v/>
      </c>
      <c r="AE2" s="51" t="str">
        <f>IFERROR(IF(VLOOKUP(A2,NRW!$A:$F,6,0)="","",VLOOKUP(A2,NRW!$A:$F,6,0)),"")</f>
        <v/>
      </c>
      <c r="AF2" s="51" t="str">
        <f>IFERROR(IF(VLOOKUP(A2,NRW!$A:$G,7,0)="","",VLOOKUP(A2,NRW!$A:$G,7,0)),"")</f>
        <v/>
      </c>
      <c r="AG2" s="53" t="str">
        <f>IFERROR(IF(OR(VLOOKUP(A2,NRW!$A:$H,8,0)="",VLOOKUP(A2,NRW!$A:$H,8,0)=0),"",VLOOKUP(A2,NRW!$A:$H,8,0)),"")</f>
        <v/>
      </c>
      <c r="AH2" s="51">
        <f>IFERROR(IF(VLOOKUP(A2,'O&amp;M score'!$A:$D,4,0)="","",VLOOKUP(A2,'O&amp;M score'!$A:$D,4,0)),"")</f>
        <v>16234344</v>
      </c>
      <c r="AI2" s="51">
        <f>IFERROR(IF(VLOOKUP(A2,'O&amp;M score'!$A:$E,5,0)="","",VLOOKUP(A2,'O&amp;M score'!$A:$E,5,0)),"")</f>
        <v>17077043</v>
      </c>
      <c r="AJ2" s="51">
        <f>IFERROR(IF(VLOOKUP(A2,'O&amp;M score'!$A:$F,6,0)="","",VLOOKUP(A2,'O&amp;M score'!$A:$F,6,0)),"")</f>
        <v>0.95065310780092316</v>
      </c>
      <c r="AK2" s="51">
        <f>IFERROR(IF(VLOOKUP(A2,'O&amp;M score'!$A:$G,7,0)="","",VLOOKUP(A2,'O&amp;M score'!$A:$G,7,0)),"")</f>
        <v>0.49869378439815359</v>
      </c>
      <c r="AL2" s="51">
        <f>IFERROR(IF(VLOOKUP(A2,'Metering Ratio Score'!$A:$C,3,0)="","",VLOOKUP(A2,'Metering Ratio Score'!$A:$C,3,0)),"")</f>
        <v>2065</v>
      </c>
      <c r="AM2" s="51" t="str">
        <f>IFERROR(IF(VLOOKUP(A2,'Metering Ratio Score'!$A:$D,4,0)="","",VLOOKUP(A2,'Metering Ratio Score'!$A:$D,4,0)),"")</f>
        <v/>
      </c>
      <c r="AN2" s="51" t="str">
        <f>IFERROR(IF(VLOOKUP(A2,'Metering Ratio Score'!$A:$E,5,0)="","",VLOOKUP(A2,'Metering Ratio Score'!$A:$E,5,0)),"")</f>
        <v/>
      </c>
      <c r="AO2" s="51" t="str">
        <f>IFERROR(IF(VLOOKUP(A2,'Metering Ratio Score'!$A:$F,6,0)="","",VLOOKUP(A2,'Metering Ratio Score'!$A:$F,6,0)),"")</f>
        <v/>
      </c>
      <c r="AP2" s="51" t="str">
        <f>IFERROR(IF(VLOOKUP(A2,'Grievance Addressal'!$A:$C,3,0)="","",VLOOKUP(A2,'Grievance Addressal'!$A:$C,3,0)),"")</f>
        <v/>
      </c>
      <c r="AQ2" s="51" t="str">
        <f>IFERROR(IF(VLOOKUP(A2,'Grievance Addressal'!$A:$D,4,0)="","",VLOOKUP(A2,'Grievance Addressal'!$A:$D,4,0)),"")</f>
        <v>yes</v>
      </c>
      <c r="AR2" s="51" t="str">
        <f>IFERROR(IF(VLOOKUP(A2,'Grievance Addressal'!$A:$E,5,0)="","",VLOOKUP(A2,'Grievance Addressal'!$A:$E,5,0)),"")</f>
        <v xml:space="preserve"> </v>
      </c>
      <c r="AS2" s="51" t="str">
        <f>IFERROR(IF(VLOOKUP(A2,Summary_Index!$A$5:$N$281,7,0)="","",VLOOKUP(A2,Summary_Index!$A$5:$N$281,7,0)),"")</f>
        <v/>
      </c>
      <c r="AT2" s="51" t="str">
        <f>IFERROR(IF(VLOOKUP(A2,Summary_Index!$A$5:$N$281,12,0)="","",VLOOKUP(A2,Summary_Index!$A$5:$N$281,12,0)),"")</f>
        <v/>
      </c>
      <c r="AU2" s="51" t="str">
        <f>IFERROR(IF(VLOOKUP(A2,Summary_Index!$A$5:$N$281,13,0)="","",VLOOKUP(A2,Summary_Index!$A$5:$N$281,13,0)),"")</f>
        <v/>
      </c>
      <c r="AV2" s="51" t="str">
        <f>IFERROR(IF(VLOOKUP(A2,Summary_Index!$A$5:$N$281,14,0)="","",VLOOKUP(A2,Summary_Index!$A$5:$N$281,14,0)),"")</f>
        <v/>
      </c>
    </row>
    <row r="3" spans="1:48" ht="45.6" customHeight="1" x14ac:dyDescent="0.3">
      <c r="A3" s="37">
        <f>Spatial!A3</f>
        <v>2</v>
      </c>
      <c r="B3" s="37" t="str">
        <f>Spatial!B3</f>
        <v>Shivalaya_WSUC</v>
      </c>
      <c r="C3" s="37" t="str">
        <f>Spatial!C3</f>
        <v>Gandaki</v>
      </c>
      <c r="D3" s="37" t="str">
        <f>Spatial!D3</f>
        <v>Parbat District</v>
      </c>
      <c r="E3" s="37" t="str">
        <f>Spatial!E3</f>
        <v>Municipality</v>
      </c>
      <c r="F3" s="37" t="str">
        <f>Spatial!F3</f>
        <v>Kusma</v>
      </c>
      <c r="G3" s="37" t="str">
        <f>IFERROR(Spatial!G3,"")</f>
        <v>4,5,6,7</v>
      </c>
      <c r="H3" s="50">
        <v>28.173500000000001</v>
      </c>
      <c r="I3" s="37">
        <v>83.984700000000004</v>
      </c>
      <c r="J3" s="37" t="str">
        <f t="shared" si="0"/>
        <v>Kusma_Parbat District</v>
      </c>
      <c r="K3" s="37" t="str">
        <f>IFERROR(IF(VLOOKUP(A3,'Service Coverage'!$A:$C,3,0)="","",VLOOKUP(A3,'Service Coverage'!$A:$C,3,0)),"")</f>
        <v>No</v>
      </c>
      <c r="L3" s="37">
        <f>IFERROR(IF(VLOOKUP(A3,'Service Coverage'!$A:$D,4,0)="","",VLOOKUP(A3,'Service Coverage'!$A:$D,4,0)),"")</f>
        <v>2700</v>
      </c>
      <c r="M3" s="37">
        <f>IFERROR(IF(VLOOKUP(A3,'Service Coverage'!$A:$E,5,0)="","",VLOOKUP(A3,'Service Coverage'!$A:$E,5,0)),"")</f>
        <v>4500</v>
      </c>
      <c r="N3" s="37">
        <f>IFERROR(IF(VLOOKUP(A3,'Service Coverage'!$A:$F,6,0)="","",VLOOKUP(A3,'Service Coverage'!$A:$F,6,0)),"")</f>
        <v>60</v>
      </c>
      <c r="O3" s="37">
        <f>IFERROR(IF(VLOOKUP(A3,'Service Coverage'!$A:$G,7,0)="","",VLOOKUP(A3,'Service Coverage'!$A:$G,7,0)),"")</f>
        <v>0</v>
      </c>
      <c r="P3" s="37" t="str">
        <f>IFERROR(IF(VLOOKUP(A3,Adequacy!$A:$C,3,0)="","",VLOOKUP(A3,Adequacy!$A:$C,3,0)),"")</f>
        <v>Gravity</v>
      </c>
      <c r="Q3" s="37">
        <f>IFERROR(IF(VLOOKUP(A3,Adequacy!$A:$D,4,0)="","",VLOOKUP(A3,Adequacy!$A:$D,4,0)),"")</f>
        <v>2055</v>
      </c>
      <c r="R3" s="37">
        <f>IFERROR(IF(VLOOKUP(A3,Adequacy!$A:$E,5,0)="","",VLOOKUP(A3,Adequacy!$A:$E,5,0)),"")</f>
        <v>15000</v>
      </c>
      <c r="S3" s="37">
        <f>IFERROR(IF(VLOOKUP(A3,Adequacy!$A:$G,7,0)="","",VLOOKUP(A3,Adequacy!$A:$G,7,0)),"")</f>
        <v>4.5666666666666664</v>
      </c>
      <c r="T3" s="37">
        <f>IFERROR(IF(VLOOKUP(A3,Adequacy!$A:$H,8,0)="","",VLOOKUP(A3,Adequacy!$A:$H,8,0)),"")</f>
        <v>120</v>
      </c>
      <c r="U3" s="37">
        <f>IFERROR(IF(VLOOKUP(A3,Adequacy!$A:$J,10,0)="","",VLOOKUP(A3,Adequacy!$A:$J,10,0)),"")</f>
        <v>0</v>
      </c>
      <c r="V3" s="37" t="str">
        <f>IFERROR(IF(VLOOKUP(A3,'Water Quality Score'!$A:$C,3,0)="","",VLOOKUP(A3,'Water Quality Score'!$A:$C,3,0)),"")</f>
        <v>yes</v>
      </c>
      <c r="W3" s="37" t="str">
        <f>IFERROR(IF(VLOOKUP(A3,'Water Quality Score'!$A:$D,4,0)="","",VLOOKUP(A3,'Water Quality Score'!$A:$D,4,0)),"")</f>
        <v>Yes</v>
      </c>
      <c r="X3" s="37" t="str">
        <f>IFERROR(IF(VLOOKUP(A3,'Water Quality Score'!$A:$E,5,0)="","",VLOOKUP(A3,'Water Quality Score'!$A:$E,5,0)),"")</f>
        <v>Yes</v>
      </c>
      <c r="Y3" s="37">
        <f>IFERROR(IF(VLOOKUP(A3,'Water Quality Score'!$A:$F,6,0)="","",VLOOKUP(A3,'Water Quality Score'!$A:$F,6,0)),"")</f>
        <v>1</v>
      </c>
      <c r="Z3" s="37">
        <f>IFERROR(IF(VLOOKUP(A3,'Reliability score'!$A:$C,3,0)="","",VLOOKUP(A3,'Reliability score'!$A:$C,3,0)),"")</f>
        <v>4</v>
      </c>
      <c r="AA3" s="37">
        <f>IFERROR(IF(VLOOKUP(A3,'Reliability score'!$A:$D,4,0)="","",VLOOKUP(A3,'Reliability score'!$A:$D,4,0)),"")</f>
        <v>0.52380952380952384</v>
      </c>
      <c r="AB3" s="37" t="str">
        <f>IFERROR(IF(VLOOKUP(A3,NRW!$A:$C,3,0)="","",VLOOKUP(A3,NRW!$A:$C,3,0)),"")</f>
        <v>No</v>
      </c>
      <c r="AC3" s="37" t="str">
        <f>IFERROR(IF(VLOOKUP(A3,NRW!$A:$D,4,0)="","",VLOOKUP(A3,NRW!$A:$D,4,0)),"")</f>
        <v>Yes</v>
      </c>
      <c r="AD3" s="37" t="str">
        <f>IFERROR(IF(VLOOKUP(A3,NRW!$A:$E,5,0)="","",VLOOKUP(A3,NRW!$A:$E,5,0)),"")</f>
        <v>Yes</v>
      </c>
      <c r="AE3" s="37" t="str">
        <f>IFERROR(IF(VLOOKUP(A3,NRW!$A:$F,6,0)="","",VLOOKUP(A3,NRW!$A:$F,6,0)),"")</f>
        <v>No</v>
      </c>
      <c r="AF3" s="37" t="str">
        <f>IFERROR(IF(VLOOKUP(A3,NRW!$A:$G,7,0)="","",VLOOKUP(A3,NRW!$A:$G,7,0)),"")</f>
        <v>Yes</v>
      </c>
      <c r="AG3" s="37" t="str">
        <f>IFERROR(IF(OR(VLOOKUP(A3,NRW!$A:$H,8,0)="",VLOOKUP(A3,NRW!$A:$H,8,0)=0),"",VLOOKUP(A3,NRW!$A:$H,8,0)),"")</f>
        <v/>
      </c>
      <c r="AH3" s="37">
        <f>IFERROR(IF(VLOOKUP(A3,'O&amp;M score'!$A:$D,4,0)="","",VLOOKUP(A3,'O&amp;M score'!$A:$D,4,0)),"")</f>
        <v>13727893</v>
      </c>
      <c r="AI3" s="37">
        <f>IFERROR(IF(VLOOKUP(A3,'O&amp;M score'!$A:$E,5,0)="","",VLOOKUP(A3,'O&amp;M score'!$A:$E,5,0)),"")</f>
        <v>20770712</v>
      </c>
      <c r="AJ3" s="37">
        <f>IFERROR(IF(VLOOKUP(A3,'O&amp;M score'!$A:$F,6,0)="","",VLOOKUP(A3,'O&amp;M score'!$A:$F,6,0)),"")</f>
        <v>0.66092548969914944</v>
      </c>
      <c r="AK3" s="37">
        <f>IFERROR(IF(VLOOKUP(A3,'O&amp;M score'!$A:$G,7,0)="","",VLOOKUP(A3,'O&amp;M score'!$A:$G,7,0)),"")</f>
        <v>1</v>
      </c>
      <c r="AL3" s="37">
        <f>IFERROR(IF(VLOOKUP(A3,'Metering Ratio Score'!$A:$C,3,0)="","",VLOOKUP(A3,'Metering Ratio Score'!$A:$C,3,0)),"")</f>
        <v>2700</v>
      </c>
      <c r="AM3" s="37">
        <f>IFERROR(IF(VLOOKUP(A3,'Metering Ratio Score'!$A:$D,4,0)="","",VLOOKUP(A3,'Metering Ratio Score'!$A:$D,4,0)),"")</f>
        <v>2750</v>
      </c>
      <c r="AN3" s="37">
        <f>IFERROR(IF(VLOOKUP(A3,'Metering Ratio Score'!$A:$E,5,0)="","",VLOOKUP(A3,'Metering Ratio Score'!$A:$E,5,0)),"")</f>
        <v>98.181818181818187</v>
      </c>
      <c r="AO3" s="37">
        <f>IFERROR(IF(VLOOKUP(A3,'Metering Ratio Score'!$A:$F,6,0)="","",VLOOKUP(A3,'Metering Ratio Score'!$A:$F,6,0)),"")</f>
        <v>0.9545454545454547</v>
      </c>
      <c r="AP3" s="37" t="str">
        <f>IFERROR(IF(VLOOKUP(A3,'Grievance Addressal'!$A:$C,3,0)="","",VLOOKUP(A3,'Grievance Addressal'!$A:$C,3,0)),"")</f>
        <v>No</v>
      </c>
      <c r="AQ3" s="37" t="str">
        <f>IFERROR(IF(VLOOKUP(A3,'Grievance Addressal'!$A:$D,4,0)="","",VLOOKUP(A3,'Grievance Addressal'!$A:$D,4,0)),"")</f>
        <v>yes</v>
      </c>
      <c r="AR3" s="37">
        <f>IFERROR(IF(VLOOKUP(A3,'Grievance Addressal'!$A:$E,5,0)="","",VLOOKUP(A3,'Grievance Addressal'!$A:$E,5,0)),"")</f>
        <v>0</v>
      </c>
      <c r="AS3" s="37">
        <f>IFERROR(IF(VLOOKUP(A3,Summary_Index!$A$5:$N$281,7,0)="","",VLOOKUP(A3,Summary_Index!$A$5:$N$281,7,0)),"")</f>
        <v>45.5</v>
      </c>
      <c r="AT3" s="37">
        <f>IFERROR(IF(VLOOKUP(A3,Summary_Index!$A$5:$N$281,12,0)="","",VLOOKUP(A3,Summary_Index!$A$5:$N$281,12,0)),"")</f>
        <v>44.1</v>
      </c>
      <c r="AU3" s="37">
        <f>IFERROR(IF(VLOOKUP(A3,Summary_Index!$A$5:$N$281,13,0)="","",VLOOKUP(A3,Summary_Index!$A$5:$N$281,13,0)),"")</f>
        <v>8</v>
      </c>
      <c r="AV3" s="37" t="str">
        <f>IFERROR(IF(VLOOKUP(A3,Summary_Index!$A$5:$N$281,14,0)="","",VLOOKUP(A3,Summary_Index!$A$5:$N$281,14,0)),"")</f>
        <v>8. Poor — Functioning Level</v>
      </c>
    </row>
    <row r="4" spans="1:48" ht="45.6" customHeight="1" x14ac:dyDescent="0.3">
      <c r="A4" s="37">
        <f>Spatial!A4</f>
        <v>3</v>
      </c>
      <c r="B4" s="37" t="str">
        <f>Spatial!B4</f>
        <v>Ratnanagar_WSUC</v>
      </c>
      <c r="C4" s="37" t="str">
        <f>Spatial!C4</f>
        <v>Bagmati</v>
      </c>
      <c r="D4" s="37" t="str">
        <f>Spatial!D4</f>
        <v>Chitwan District</v>
      </c>
      <c r="E4" s="37" t="str">
        <f>Spatial!E4</f>
        <v>Municipality</v>
      </c>
      <c r="F4" s="37" t="str">
        <f>Spatial!F4</f>
        <v>Ratnanagar</v>
      </c>
      <c r="G4" s="37" t="str">
        <f>IFERROR(Spatial!G4,"")</f>
        <v>1 ,2,3,4,5,6,7,8,9,10,11,12,13</v>
      </c>
      <c r="H4" s="49">
        <v>27.609200000000001</v>
      </c>
      <c r="I4" s="37">
        <v>84.344399999999993</v>
      </c>
      <c r="J4" s="37" t="str">
        <f t="shared" si="0"/>
        <v>Ratnanagar_Chitwan District</v>
      </c>
      <c r="K4" s="37" t="str">
        <f>IFERROR(IF(VLOOKUP(A4,'Service Coverage'!$A:$C,3,0)="","",VLOOKUP(A4,'Service Coverage'!$A:$C,3,0)),"")</f>
        <v>No</v>
      </c>
      <c r="L4" s="37">
        <f>IFERROR(IF(VLOOKUP(A4,'Service Coverage'!$A:$D,4,0)="","",VLOOKUP(A4,'Service Coverage'!$A:$D,4,0)),"")</f>
        <v>18000</v>
      </c>
      <c r="M4" s="37" t="str">
        <f>IFERROR(IF(VLOOKUP(A4,'Service Coverage'!$A:$E,5,0)="","",VLOOKUP(A4,'Service Coverage'!$A:$E,5,0)),"")</f>
        <v/>
      </c>
      <c r="N4" s="37" t="str">
        <f>IFERROR(IF(VLOOKUP(A4,'Service Coverage'!$A:$F,6,0)="","",VLOOKUP(A4,'Service Coverage'!$A:$F,6,0)),"")</f>
        <v/>
      </c>
      <c r="O4" s="37" t="str">
        <f>IFERROR(IF(VLOOKUP(A4,'Service Coverage'!$A:$G,7,0)="","",VLOOKUP(A4,'Service Coverage'!$A:$G,7,0)),"")</f>
        <v/>
      </c>
      <c r="P4" s="37" t="str">
        <f>IFERROR(IF(VLOOKUP(A4,Adequacy!$A:$C,3,0)="","",VLOOKUP(A4,Adequacy!$A:$C,3,0)),"")</f>
        <v/>
      </c>
      <c r="Q4" s="37">
        <f>IFERROR(IF(VLOOKUP(A4,Adequacy!$A:$D,4,0)="","",VLOOKUP(A4,Adequacy!$A:$D,4,0)),"")</f>
        <v>12500</v>
      </c>
      <c r="R4" s="37">
        <f>IFERROR(IF(VLOOKUP(A4,Adequacy!$A:$E,5,0)="","",VLOOKUP(A4,Adequacy!$A:$E,5,0)),"")</f>
        <v>90000</v>
      </c>
      <c r="S4" s="37">
        <f>IFERROR(IF(VLOOKUP(A4,Adequacy!$A:$G,7,0)="","",VLOOKUP(A4,Adequacy!$A:$G,7,0)),"")</f>
        <v>4.6296296296296298</v>
      </c>
      <c r="T4" s="37" t="str">
        <f>IFERROR(IF(VLOOKUP(A4,Adequacy!$A:$H,8,0)="","",VLOOKUP(A4,Adequacy!$A:$H,8,0)),"")</f>
        <v xml:space="preserve"> </v>
      </c>
      <c r="U4" s="37" t="str">
        <f>IFERROR(IF(VLOOKUP(A4,Adequacy!$A:$J,10,0)="","",VLOOKUP(A4,Adequacy!$A:$J,10,0)),"")</f>
        <v/>
      </c>
      <c r="V4" s="37" t="str">
        <f>IFERROR(IF(VLOOKUP(A4,'Water Quality Score'!$A:$C,3,0)="","",VLOOKUP(A4,'Water Quality Score'!$A:$C,3,0)),"")</f>
        <v>yes</v>
      </c>
      <c r="W4" s="37" t="str">
        <f>IFERROR(IF(VLOOKUP(A4,'Water Quality Score'!$A:$D,4,0)="","",VLOOKUP(A4,'Water Quality Score'!$A:$D,4,0)),"")</f>
        <v/>
      </c>
      <c r="X4" s="37" t="str">
        <f>IFERROR(IF(VLOOKUP(A4,'Water Quality Score'!$A:$E,5,0)="","",VLOOKUP(A4,'Water Quality Score'!$A:$E,5,0)),"")</f>
        <v/>
      </c>
      <c r="Y4" s="37">
        <f>IFERROR(IF(VLOOKUP(A4,'Water Quality Score'!$A:$F,6,0)="","",VLOOKUP(A4,'Water Quality Score'!$A:$F,6,0)),"")</f>
        <v>0.2</v>
      </c>
      <c r="Z4" s="37">
        <f>IFERROR(IF(VLOOKUP(A4,'Reliability score'!$A:$C,3,0)="","",VLOOKUP(A4,'Reliability score'!$A:$C,3,0)),"")</f>
        <v>24</v>
      </c>
      <c r="AA4" s="37">
        <f>IFERROR(IF(VLOOKUP(A4,'Reliability score'!$A:$D,4,0)="","",VLOOKUP(A4,'Reliability score'!$A:$D,4,0)),"")</f>
        <v>1</v>
      </c>
      <c r="AB4" s="37" t="str">
        <f>IFERROR(IF(VLOOKUP(A4,NRW!$A:$C,3,0)="","",VLOOKUP(A4,NRW!$A:$C,3,0)),"")</f>
        <v/>
      </c>
      <c r="AC4" s="37" t="str">
        <f>IFERROR(IF(VLOOKUP(A4,NRW!$A:$D,4,0)="","",VLOOKUP(A4,NRW!$A:$D,4,0)),"")</f>
        <v/>
      </c>
      <c r="AD4" s="37" t="str">
        <f>IFERROR(IF(VLOOKUP(A4,NRW!$A:$E,5,0)="","",VLOOKUP(A4,NRW!$A:$E,5,0)),"")</f>
        <v/>
      </c>
      <c r="AE4" s="37" t="str">
        <f>IFERROR(IF(VLOOKUP(A4,NRW!$A:$F,6,0)="","",VLOOKUP(A4,NRW!$A:$F,6,0)),"")</f>
        <v/>
      </c>
      <c r="AF4" s="37" t="str">
        <f>IFERROR(IF(VLOOKUP(A4,NRW!$A:$G,7,0)="","",VLOOKUP(A4,NRW!$A:$G,7,0)),"")</f>
        <v/>
      </c>
      <c r="AG4" s="37" t="str">
        <f>IFERROR(IF(OR(VLOOKUP(A4,NRW!$A:$H,8,0)="",VLOOKUP(A4,NRW!$A:$H,8,0)=0),"",VLOOKUP(A4,NRW!$A:$H,8,0)),"")</f>
        <v/>
      </c>
      <c r="AH4" s="37">
        <f>IFERROR(IF(VLOOKUP(A4,'O&amp;M score'!$A:$D,4,0)="","",VLOOKUP(A4,'O&amp;M score'!$A:$D,4,0)),"")</f>
        <v>30000</v>
      </c>
      <c r="AI4" s="37">
        <f>IFERROR(IF(VLOOKUP(A4,'O&amp;M score'!$A:$E,5,0)="","",VLOOKUP(A4,'O&amp;M score'!$A:$E,5,0)),"")</f>
        <v>40000</v>
      </c>
      <c r="AJ4" s="37">
        <f>IFERROR(IF(VLOOKUP(A4,'O&amp;M score'!$A:$F,6,0)="","",VLOOKUP(A4,'O&amp;M score'!$A:$F,6,0)),"")</f>
        <v>0.75</v>
      </c>
      <c r="AK4" s="37">
        <f>IFERROR(IF(VLOOKUP(A4,'O&amp;M score'!$A:$G,7,0)="","",VLOOKUP(A4,'O&amp;M score'!$A:$G,7,0)),"")</f>
        <v>0.89999999999999991</v>
      </c>
      <c r="AL4" s="37">
        <f>IFERROR(IF(VLOOKUP(A4,'Metering Ratio Score'!$A:$C,3,0)="","",VLOOKUP(A4,'Metering Ratio Score'!$A:$C,3,0)),"")</f>
        <v>15016</v>
      </c>
      <c r="AM4" s="37" t="str">
        <f>IFERROR(IF(VLOOKUP(A4,'Metering Ratio Score'!$A:$D,4,0)="","",VLOOKUP(A4,'Metering Ratio Score'!$A:$D,4,0)),"")</f>
        <v/>
      </c>
      <c r="AN4" s="37" t="str">
        <f>IFERROR(IF(VLOOKUP(A4,'Metering Ratio Score'!$A:$E,5,0)="","",VLOOKUP(A4,'Metering Ratio Score'!$A:$E,5,0)),"")</f>
        <v/>
      </c>
      <c r="AO4" s="37" t="str">
        <f>IFERROR(IF(VLOOKUP(A4,'Metering Ratio Score'!$A:$F,6,0)="","",VLOOKUP(A4,'Metering Ratio Score'!$A:$F,6,0)),"")</f>
        <v/>
      </c>
      <c r="AP4" s="37" t="str">
        <f>IFERROR(IF(VLOOKUP(A4,'Grievance Addressal'!$A:$C,3,0)="","",VLOOKUP(A4,'Grievance Addressal'!$A:$C,3,0)),"")</f>
        <v/>
      </c>
      <c r="AQ4" s="37" t="str">
        <f>IFERROR(IF(VLOOKUP(A4,'Grievance Addressal'!$A:$D,4,0)="","",VLOOKUP(A4,'Grievance Addressal'!$A:$D,4,0)),"")</f>
        <v>yes</v>
      </c>
      <c r="AR4" s="37" t="str">
        <f>IFERROR(IF(VLOOKUP(A4,'Grievance Addressal'!$A:$E,5,0)="","",VLOOKUP(A4,'Grievance Addressal'!$A:$E,5,0)),"")</f>
        <v xml:space="preserve"> </v>
      </c>
      <c r="AS4" s="37" t="str">
        <f>IFERROR(IF(VLOOKUP(A4,Summary_Index!$A$5:$N$281,7,0)="","",VLOOKUP(A4,Summary_Index!$A$5:$N$281,7,0)),"")</f>
        <v/>
      </c>
      <c r="AT4" s="37" t="str">
        <f>IFERROR(IF(VLOOKUP(A4,Summary_Index!$A$5:$N$281,12,0)="","",VLOOKUP(A4,Summary_Index!$A$5:$N$281,12,0)),"")</f>
        <v/>
      </c>
      <c r="AU4" s="37" t="str">
        <f>IFERROR(IF(VLOOKUP(A4,Summary_Index!$A$5:$N$281,13,0)="","",VLOOKUP(A4,Summary_Index!$A$5:$N$281,13,0)),"")</f>
        <v/>
      </c>
      <c r="AV4" s="37" t="str">
        <f>IFERROR(IF(VLOOKUP(A4,Summary_Index!$A$5:$N$281,14,0)="","",VLOOKUP(A4,Summary_Index!$A$5:$N$281,14,0)),"")</f>
        <v/>
      </c>
    </row>
    <row r="5" spans="1:48" ht="45.6" customHeight="1" x14ac:dyDescent="0.3">
      <c r="A5" s="37">
        <f>Spatial!A5</f>
        <v>4</v>
      </c>
      <c r="B5" s="37" t="str">
        <f>Spatial!B5</f>
        <v>Nirmalpokhari_WSUC</v>
      </c>
      <c r="C5" s="37" t="str">
        <f>Spatial!C5</f>
        <v>Gandaki</v>
      </c>
      <c r="D5" s="37" t="str">
        <f>Spatial!D5</f>
        <v>Kaski District</v>
      </c>
      <c r="E5" s="37" t="str">
        <f>Spatial!E5</f>
        <v>Metropolitan</v>
      </c>
      <c r="F5" s="37" t="str">
        <f>Spatial!F5</f>
        <v>Pokhara</v>
      </c>
      <c r="G5" s="37">
        <f>IFERROR(Spatial!G5,"")</f>
        <v>0</v>
      </c>
      <c r="H5" s="50">
        <v>28.209599999999998</v>
      </c>
      <c r="I5" s="37">
        <v>83.985600000000005</v>
      </c>
      <c r="J5" s="37" t="str">
        <f t="shared" si="0"/>
        <v>Pokhara_Kaski District</v>
      </c>
      <c r="K5" s="37" t="str">
        <f>IFERROR(IF(VLOOKUP(A5,'Service Coverage'!$A:$C,3,0)="","",VLOOKUP(A5,'Service Coverage'!$A:$C,3,0)),"")</f>
        <v>Yes</v>
      </c>
      <c r="L5" s="37">
        <f>IFERROR(IF(VLOOKUP(A5,'Service Coverage'!$A:$D,4,0)="","",VLOOKUP(A5,'Service Coverage'!$A:$D,4,0)),"")</f>
        <v>2100</v>
      </c>
      <c r="M5" s="37">
        <f>IFERROR(IF(VLOOKUP(A5,'Service Coverage'!$A:$E,5,0)="","",VLOOKUP(A5,'Service Coverage'!$A:$E,5,0)),"")</f>
        <v>3500</v>
      </c>
      <c r="N5" s="37">
        <f>IFERROR(IF(VLOOKUP(A5,'Service Coverage'!$A:$F,6,0)="","",VLOOKUP(A5,'Service Coverage'!$A:$F,6,0)),"")</f>
        <v>60</v>
      </c>
      <c r="O5" s="37">
        <f>IFERROR(IF(VLOOKUP(A5,'Service Coverage'!$A:$G,7,0)="","",VLOOKUP(A5,'Service Coverage'!$A:$G,7,0)),"")</f>
        <v>0</v>
      </c>
      <c r="P5" s="37" t="str">
        <f>IFERROR(IF(VLOOKUP(A5,Adequacy!$A:$C,3,0)="","",VLOOKUP(A5,Adequacy!$A:$C,3,0)),"")</f>
        <v>Pumped</v>
      </c>
      <c r="Q5" s="37">
        <f>IFERROR(IF(VLOOKUP(A5,Adequacy!$A:$D,4,0)="","",VLOOKUP(A5,Adequacy!$A:$D,4,0)),"")</f>
        <v>437</v>
      </c>
      <c r="R5" s="37">
        <f>IFERROR(IF(VLOOKUP(A5,Adequacy!$A:$E,5,0)="","",VLOOKUP(A5,Adequacy!$A:$E,5,0)),"")</f>
        <v>11000</v>
      </c>
      <c r="S5" s="37">
        <f>IFERROR(IF(VLOOKUP(A5,Adequacy!$A:$G,7,0)="","",VLOOKUP(A5,Adequacy!$A:$G,7,0)),"")</f>
        <v>1.3242424242424242</v>
      </c>
      <c r="T5" s="37">
        <f>IFERROR(IF(VLOOKUP(A5,Adequacy!$A:$H,8,0)="","",VLOOKUP(A5,Adequacy!$A:$H,8,0)),"")</f>
        <v>100</v>
      </c>
      <c r="U5" s="37">
        <f>IFERROR(IF(VLOOKUP(A5,Adequacy!$A:$J,10,0)="","",VLOOKUP(A5,Adequacy!$A:$J,10,0)),"")</f>
        <v>0</v>
      </c>
      <c r="V5" s="37" t="str">
        <f>IFERROR(IF(VLOOKUP(A5,'Water Quality Score'!$A:$C,3,0)="","",VLOOKUP(A5,'Water Quality Score'!$A:$C,3,0)),"")</f>
        <v>yes</v>
      </c>
      <c r="W5" s="37" t="str">
        <f>IFERROR(IF(VLOOKUP(A5,'Water Quality Score'!$A:$D,4,0)="","",VLOOKUP(A5,'Water Quality Score'!$A:$D,4,0)),"")</f>
        <v>Yes</v>
      </c>
      <c r="X5" s="37" t="str">
        <f>IFERROR(IF(VLOOKUP(A5,'Water Quality Score'!$A:$E,5,0)="","",VLOOKUP(A5,'Water Quality Score'!$A:$E,5,0)),"")</f>
        <v/>
      </c>
      <c r="Y5" s="37">
        <f>IFERROR(IF(VLOOKUP(A5,'Water Quality Score'!$A:$F,6,0)="","",VLOOKUP(A5,'Water Quality Score'!$A:$F,6,0)),"")</f>
        <v>0.60000000000000009</v>
      </c>
      <c r="Z5" s="37">
        <f>IFERROR(IF(VLOOKUP(A5,'Reliability score'!$A:$C,3,0)="","",VLOOKUP(A5,'Reliability score'!$A:$C,3,0)),"")</f>
        <v>8</v>
      </c>
      <c r="AA5" s="37">
        <f>IFERROR(IF(VLOOKUP(A5,'Reliability score'!$A:$D,4,0)="","",VLOOKUP(A5,'Reliability score'!$A:$D,4,0)),"")</f>
        <v>0.61904761904761907</v>
      </c>
      <c r="AB5" s="37" t="str">
        <f>IFERROR(IF(VLOOKUP(A5,NRW!$A:$C,3,0)="","",VLOOKUP(A5,NRW!$A:$C,3,0)),"")</f>
        <v>No</v>
      </c>
      <c r="AC5" s="37" t="str">
        <f>IFERROR(IF(VLOOKUP(A5,NRW!$A:$D,4,0)="","",VLOOKUP(A5,NRW!$A:$D,4,0)),"")</f>
        <v>Yes</v>
      </c>
      <c r="AD5" s="37" t="str">
        <f>IFERROR(IF(VLOOKUP(A5,NRW!$A:$E,5,0)="","",VLOOKUP(A5,NRW!$A:$E,5,0)),"")</f>
        <v>Yes</v>
      </c>
      <c r="AE5" s="37" t="str">
        <f>IFERROR(IF(VLOOKUP(A5,NRW!$A:$F,6,0)="","",VLOOKUP(A5,NRW!$A:$F,6,0)),"")</f>
        <v>Yes</v>
      </c>
      <c r="AF5" s="37" t="str">
        <f>IFERROR(IF(VLOOKUP(A5,NRW!$A:$G,7,0)="","",VLOOKUP(A5,NRW!$A:$G,7,0)),"")</f>
        <v>Yes</v>
      </c>
      <c r="AG5" s="37" t="str">
        <f>IFERROR(IF(OR(VLOOKUP(A5,NRW!$A:$H,8,0)="",VLOOKUP(A5,NRW!$A:$H,8,0)=0),"",VLOOKUP(A5,NRW!$A:$H,8,0)),"")</f>
        <v/>
      </c>
      <c r="AH5" s="37">
        <f>IFERROR(IF(VLOOKUP(A5,'O&amp;M score'!$A:$D,4,0)="","",VLOOKUP(A5,'O&amp;M score'!$A:$D,4,0)),"")</f>
        <v>2942620</v>
      </c>
      <c r="AI5" s="37">
        <f>IFERROR(IF(VLOOKUP(A5,'O&amp;M score'!$A:$E,5,0)="","",VLOOKUP(A5,'O&amp;M score'!$A:$E,5,0)),"")</f>
        <v>9993660</v>
      </c>
      <c r="AJ5" s="37">
        <f>IFERROR(IF(VLOOKUP(A5,'O&amp;M score'!$A:$F,6,0)="","",VLOOKUP(A5,'O&amp;M score'!$A:$F,6,0)),"")</f>
        <v>0.29444868046341383</v>
      </c>
      <c r="AK5" s="37">
        <f>IFERROR(IF(VLOOKUP(A5,'O&amp;M score'!$A:$G,7,0)="","",VLOOKUP(A5,'O&amp;M score'!$A:$G,7,0)),"")</f>
        <v>1</v>
      </c>
      <c r="AL5" s="37">
        <f>IFERROR(IF(VLOOKUP(A5,'Metering Ratio Score'!$A:$C,3,0)="","",VLOOKUP(A5,'Metering Ratio Score'!$A:$C,3,0)),"")</f>
        <v>1300</v>
      </c>
      <c r="AM5" s="37">
        <f>IFERROR(IF(VLOOKUP(A5,'Metering Ratio Score'!$A:$D,4,0)="","",VLOOKUP(A5,'Metering Ratio Score'!$A:$D,4,0)),"")</f>
        <v>2100</v>
      </c>
      <c r="AN5" s="37">
        <f>IFERROR(IF(VLOOKUP(A5,'Metering Ratio Score'!$A:$E,5,0)="","",VLOOKUP(A5,'Metering Ratio Score'!$A:$E,5,0)),"")</f>
        <v>61.904761904761905</v>
      </c>
      <c r="AO5" s="37">
        <f>IFERROR(IF(VLOOKUP(A5,'Metering Ratio Score'!$A:$F,6,0)="","",VLOOKUP(A5,'Metering Ratio Score'!$A:$F,6,0)),"")</f>
        <v>4.761904761904763E-2</v>
      </c>
      <c r="AP5" s="37" t="str">
        <f>IFERROR(IF(VLOOKUP(A5,'Grievance Addressal'!$A:$C,3,0)="","",VLOOKUP(A5,'Grievance Addressal'!$A:$C,3,0)),"")</f>
        <v>Yes</v>
      </c>
      <c r="AQ5" s="37" t="str">
        <f>IFERROR(IF(VLOOKUP(A5,'Grievance Addressal'!$A:$D,4,0)="","",VLOOKUP(A5,'Grievance Addressal'!$A:$D,4,0)),"")</f>
        <v>yes</v>
      </c>
      <c r="AR5" s="37">
        <f>IFERROR(IF(VLOOKUP(A5,'Grievance Addressal'!$A:$E,5,0)="","",VLOOKUP(A5,'Grievance Addressal'!$A:$E,5,0)),"")</f>
        <v>1</v>
      </c>
      <c r="AS5" s="37">
        <f>IFERROR(IF(VLOOKUP(A5,Summary_Index!$A$5:$N$281,7,0)="","",VLOOKUP(A5,Summary_Index!$A$5:$N$281,7,0)),"")</f>
        <v>33.4</v>
      </c>
      <c r="AT5" s="37">
        <f>IFERROR(IF(VLOOKUP(A5,Summary_Index!$A$5:$N$281,12,0)="","",VLOOKUP(A5,Summary_Index!$A$5:$N$281,12,0)),"")</f>
        <v>51</v>
      </c>
      <c r="AU5" s="37">
        <f>IFERROR(IF(VLOOKUP(A5,Summary_Index!$A$5:$N$281,13,0)="","",VLOOKUP(A5,Summary_Index!$A$5:$N$281,13,0)),"")</f>
        <v>6</v>
      </c>
      <c r="AV5" s="37" t="str">
        <f>IFERROR(IF(VLOOKUP(A5,Summary_Index!$A$5:$N$281,14,0)="","",VLOOKUP(A5,Summary_Index!$A$5:$N$281,14,0)),"")</f>
        <v>6. Active — Functioning Level</v>
      </c>
    </row>
    <row r="6" spans="1:48" ht="45.6" customHeight="1" x14ac:dyDescent="0.3">
      <c r="A6" s="37">
        <f>Spatial!A6</f>
        <v>5</v>
      </c>
      <c r="B6" s="37" t="str">
        <f>Spatial!B6</f>
        <v>Bhimad_WSUC</v>
      </c>
      <c r="C6" s="37" t="str">
        <f>Spatial!C6</f>
        <v>Gandaki</v>
      </c>
      <c r="D6" s="37" t="str">
        <f>Spatial!D6</f>
        <v>Tanahun District</v>
      </c>
      <c r="E6" s="37" t="str">
        <f>Spatial!E6</f>
        <v>Municipality</v>
      </c>
      <c r="F6" s="37" t="str">
        <f>Spatial!F6</f>
        <v>Bhimad</v>
      </c>
      <c r="G6" s="37">
        <f>IFERROR(Spatial!G6,"")</f>
        <v>0</v>
      </c>
      <c r="H6" s="49">
        <v>27.966699999999999</v>
      </c>
      <c r="I6" s="37">
        <v>84.416700000000006</v>
      </c>
      <c r="J6" s="37" t="str">
        <f t="shared" si="0"/>
        <v>Bhimad_Tanahun District</v>
      </c>
      <c r="K6" s="37" t="str">
        <f>IFERROR(IF(VLOOKUP(A6,'Service Coverage'!$A:$C,3,0)="","",VLOOKUP(A6,'Service Coverage'!$A:$C,3,0)),"")</f>
        <v/>
      </c>
      <c r="L6" s="37">
        <f>IFERROR(IF(VLOOKUP(A6,'Service Coverage'!$A:$D,4,0)="","",VLOOKUP(A6,'Service Coverage'!$A:$D,4,0)),"")</f>
        <v>2000</v>
      </c>
      <c r="M6" s="37" t="str">
        <f>IFERROR(IF(VLOOKUP(A6,'Service Coverage'!$A:$E,5,0)="","",VLOOKUP(A6,'Service Coverage'!$A:$E,5,0)),"")</f>
        <v/>
      </c>
      <c r="N6" s="37" t="str">
        <f>IFERROR(IF(VLOOKUP(A6,'Service Coverage'!$A:$F,6,0)="","",VLOOKUP(A6,'Service Coverage'!$A:$F,6,0)),"")</f>
        <v/>
      </c>
      <c r="O6" s="37" t="str">
        <f>IFERROR(IF(VLOOKUP(A6,'Service Coverage'!$A:$G,7,0)="","",VLOOKUP(A6,'Service Coverage'!$A:$G,7,0)),"")</f>
        <v/>
      </c>
      <c r="P6" s="37" t="str">
        <f>IFERROR(IF(VLOOKUP(A6,Adequacy!$A:$C,3,0)="","",VLOOKUP(A6,Adequacy!$A:$C,3,0)),"")</f>
        <v/>
      </c>
      <c r="Q6" s="37">
        <f>IFERROR(IF(VLOOKUP(A6,Adequacy!$A:$D,4,0)="","",VLOOKUP(A6,Adequacy!$A:$D,4,0)),"")</f>
        <v>1220</v>
      </c>
      <c r="R6" s="37" t="str">
        <f>IFERROR(IF(VLOOKUP(A6,Adequacy!$A:$E,5,0)="","",VLOOKUP(A6,Adequacy!$A:$E,5,0)),"")</f>
        <v/>
      </c>
      <c r="S6" s="37" t="str">
        <f>IFERROR(IF(VLOOKUP(A6,Adequacy!$A:$G,7,0)="","",VLOOKUP(A6,Adequacy!$A:$G,7,0)),"")</f>
        <v/>
      </c>
      <c r="T6" s="37" t="str">
        <f>IFERROR(IF(VLOOKUP(A6,Adequacy!$A:$H,8,0)="","",VLOOKUP(A6,Adequacy!$A:$H,8,0)),"")</f>
        <v xml:space="preserve"> </v>
      </c>
      <c r="U6" s="37" t="str">
        <f>IFERROR(IF(VLOOKUP(A6,Adequacy!$A:$J,10,0)="","",VLOOKUP(A6,Adequacy!$A:$J,10,0)),"")</f>
        <v/>
      </c>
      <c r="V6" s="37" t="str">
        <f>IFERROR(IF(VLOOKUP(A6,'Water Quality Score'!$A:$C,3,0)="","",VLOOKUP(A6,'Water Quality Score'!$A:$C,3,0)),"")</f>
        <v>yes</v>
      </c>
      <c r="W6" s="37" t="str">
        <f>IFERROR(IF(VLOOKUP(A6,'Water Quality Score'!$A:$D,4,0)="","",VLOOKUP(A6,'Water Quality Score'!$A:$D,4,0)),"")</f>
        <v/>
      </c>
      <c r="X6" s="37" t="str">
        <f>IFERROR(IF(VLOOKUP(A6,'Water Quality Score'!$A:$E,5,0)="","",VLOOKUP(A6,'Water Quality Score'!$A:$E,5,0)),"")</f>
        <v/>
      </c>
      <c r="Y6" s="37">
        <f>IFERROR(IF(VLOOKUP(A6,'Water Quality Score'!$A:$F,6,0)="","",VLOOKUP(A6,'Water Quality Score'!$A:$F,6,0)),"")</f>
        <v>0.2</v>
      </c>
      <c r="Z6" s="37">
        <f>IFERROR(IF(VLOOKUP(A6,'Reliability score'!$A:$C,3,0)="","",VLOOKUP(A6,'Reliability score'!$A:$C,3,0)),"")</f>
        <v>12</v>
      </c>
      <c r="AA6" s="37">
        <f>IFERROR(IF(VLOOKUP(A6,'Reliability score'!$A:$D,4,0)="","",VLOOKUP(A6,'Reliability score'!$A:$D,4,0)),"")</f>
        <v>0.7142857142857143</v>
      </c>
      <c r="AB6" s="37" t="str">
        <f>IFERROR(IF(VLOOKUP(A6,NRW!$A:$C,3,0)="","",VLOOKUP(A6,NRW!$A:$C,3,0)),"")</f>
        <v/>
      </c>
      <c r="AC6" s="37" t="str">
        <f>IFERROR(IF(VLOOKUP(A6,NRW!$A:$D,4,0)="","",VLOOKUP(A6,NRW!$A:$D,4,0)),"")</f>
        <v/>
      </c>
      <c r="AD6" s="37" t="str">
        <f>IFERROR(IF(VLOOKUP(A6,NRW!$A:$E,5,0)="","",VLOOKUP(A6,NRW!$A:$E,5,0)),"")</f>
        <v/>
      </c>
      <c r="AE6" s="37" t="str">
        <f>IFERROR(IF(VLOOKUP(A6,NRW!$A:$F,6,0)="","",VLOOKUP(A6,NRW!$A:$F,6,0)),"")</f>
        <v/>
      </c>
      <c r="AF6" s="37" t="str">
        <f>IFERROR(IF(VLOOKUP(A6,NRW!$A:$G,7,0)="","",VLOOKUP(A6,NRW!$A:$G,7,0)),"")</f>
        <v/>
      </c>
      <c r="AG6" s="37" t="str">
        <f>IFERROR(IF(OR(VLOOKUP(A6,NRW!$A:$H,8,0)="",VLOOKUP(A6,NRW!$A:$H,8,0)=0),"",VLOOKUP(A6,NRW!$A:$H,8,0)),"")</f>
        <v/>
      </c>
      <c r="AH6" s="37" t="str">
        <f>IFERROR(IF(VLOOKUP(A6,'O&amp;M score'!$A:$D,4,0)="","",VLOOKUP(A6,'O&amp;M score'!$A:$D,4,0)),"")</f>
        <v/>
      </c>
      <c r="AI6" s="37" t="str">
        <f>IFERROR(IF(VLOOKUP(A6,'O&amp;M score'!$A:$E,5,0)="","",VLOOKUP(A6,'O&amp;M score'!$A:$E,5,0)),"")</f>
        <v/>
      </c>
      <c r="AJ6" s="37" t="str">
        <f>IFERROR(IF(VLOOKUP(A6,'O&amp;M score'!$A:$F,6,0)="","",VLOOKUP(A6,'O&amp;M score'!$A:$F,6,0)),"")</f>
        <v/>
      </c>
      <c r="AK6" s="37" t="str">
        <f>IFERROR(IF(VLOOKUP(A6,'O&amp;M score'!$A:$G,7,0)="","",VLOOKUP(A6,'O&amp;M score'!$A:$G,7,0)),"")</f>
        <v/>
      </c>
      <c r="AL6" s="37" t="str">
        <f>IFERROR(IF(VLOOKUP(A6,'Metering Ratio Score'!$A:$C,3,0)="","",VLOOKUP(A6,'Metering Ratio Score'!$A:$C,3,0)),"")</f>
        <v/>
      </c>
      <c r="AM6" s="37" t="str">
        <f>IFERROR(IF(VLOOKUP(A6,'Metering Ratio Score'!$A:$D,4,0)="","",VLOOKUP(A6,'Metering Ratio Score'!$A:$D,4,0)),"")</f>
        <v/>
      </c>
      <c r="AN6" s="37" t="str">
        <f>IFERROR(IF(VLOOKUP(A6,'Metering Ratio Score'!$A:$E,5,0)="","",VLOOKUP(A6,'Metering Ratio Score'!$A:$E,5,0)),"")</f>
        <v/>
      </c>
      <c r="AO6" s="37" t="str">
        <f>IFERROR(IF(VLOOKUP(A6,'Metering Ratio Score'!$A:$F,6,0)="","",VLOOKUP(A6,'Metering Ratio Score'!$A:$F,6,0)),"")</f>
        <v/>
      </c>
      <c r="AP6" s="37" t="str">
        <f>IFERROR(IF(VLOOKUP(A6,'Grievance Addressal'!$A:$C,3,0)="","",VLOOKUP(A6,'Grievance Addressal'!$A:$C,3,0)),"")</f>
        <v/>
      </c>
      <c r="AQ6" s="37" t="str">
        <f>IFERROR(IF(VLOOKUP(A6,'Grievance Addressal'!$A:$D,4,0)="","",VLOOKUP(A6,'Grievance Addressal'!$A:$D,4,0)),"")</f>
        <v>yes</v>
      </c>
      <c r="AR6" s="37" t="str">
        <f>IFERROR(IF(VLOOKUP(A6,'Grievance Addressal'!$A:$E,5,0)="","",VLOOKUP(A6,'Grievance Addressal'!$A:$E,5,0)),"")</f>
        <v xml:space="preserve"> </v>
      </c>
      <c r="AS6" s="37" t="str">
        <f>IFERROR(IF(VLOOKUP(A6,Summary_Index!$A$5:$N$281,7,0)="","",VLOOKUP(A6,Summary_Index!$A$5:$N$281,7,0)),"")</f>
        <v/>
      </c>
      <c r="AT6" s="37" t="str">
        <f>IFERROR(IF(VLOOKUP(A6,Summary_Index!$A$5:$N$281,12,0)="","",VLOOKUP(A6,Summary_Index!$A$5:$N$281,12,0)),"")</f>
        <v/>
      </c>
      <c r="AU6" s="37" t="str">
        <f>IFERROR(IF(VLOOKUP(A6,Summary_Index!$A$5:$N$281,13,0)="","",VLOOKUP(A6,Summary_Index!$A$5:$N$281,13,0)),"")</f>
        <v/>
      </c>
      <c r="AV6" s="37" t="str">
        <f>IFERROR(IF(VLOOKUP(A6,Summary_Index!$A$5:$N$281,14,0)="","",VLOOKUP(A6,Summary_Index!$A$5:$N$281,14,0)),"")</f>
        <v/>
      </c>
    </row>
    <row r="7" spans="1:48" ht="45.6" customHeight="1" x14ac:dyDescent="0.3">
      <c r="A7" s="37">
        <f>Spatial!A7</f>
        <v>6</v>
      </c>
      <c r="B7" s="37" t="str">
        <f>Spatial!B7</f>
        <v>Katunje_WSUC</v>
      </c>
      <c r="C7" s="37" t="str">
        <f>Spatial!C7</f>
        <v>Bagmati</v>
      </c>
      <c r="D7" s="37" t="str">
        <f>Spatial!D7</f>
        <v>Bhaktapur</v>
      </c>
      <c r="E7" s="37" t="str">
        <f>Spatial!E7</f>
        <v>Municipality</v>
      </c>
      <c r="F7" s="37" t="str">
        <f>Spatial!F7</f>
        <v>Suryabinayak</v>
      </c>
      <c r="G7" s="37">
        <f>IFERROR(Spatial!G7,"")</f>
        <v>0</v>
      </c>
      <c r="H7" s="50">
        <v>27.665400000000002</v>
      </c>
      <c r="I7" s="37">
        <v>85.419499999999999</v>
      </c>
      <c r="J7" s="37" t="str">
        <f t="shared" si="0"/>
        <v>Suryabinayak_Bhaktapur</v>
      </c>
      <c r="K7" s="37" t="str">
        <f>IFERROR(IF(VLOOKUP(A7,'Service Coverage'!$A:$C,3,0)="","",VLOOKUP(A7,'Service Coverage'!$A:$C,3,0)),"")</f>
        <v/>
      </c>
      <c r="L7" s="37">
        <f>IFERROR(IF(VLOOKUP(A7,'Service Coverage'!$A:$D,4,0)="","",VLOOKUP(A7,'Service Coverage'!$A:$D,4,0)),"")</f>
        <v>3360</v>
      </c>
      <c r="M7" s="37" t="str">
        <f>IFERROR(IF(VLOOKUP(A7,'Service Coverage'!$A:$E,5,0)="","",VLOOKUP(A7,'Service Coverage'!$A:$E,5,0)),"")</f>
        <v/>
      </c>
      <c r="N7" s="37" t="str">
        <f>IFERROR(IF(VLOOKUP(A7,'Service Coverage'!$A:$F,6,0)="","",VLOOKUP(A7,'Service Coverage'!$A:$F,6,0)),"")</f>
        <v/>
      </c>
      <c r="O7" s="37" t="str">
        <f>IFERROR(IF(VLOOKUP(A7,'Service Coverage'!$A:$G,7,0)="","",VLOOKUP(A7,'Service Coverage'!$A:$G,7,0)),"")</f>
        <v/>
      </c>
      <c r="P7" s="37" t="str">
        <f>IFERROR(IF(VLOOKUP(A7,Adequacy!$A:$C,3,0)="","",VLOOKUP(A7,Adequacy!$A:$C,3,0)),"")</f>
        <v/>
      </c>
      <c r="Q7" s="37">
        <f>IFERROR(IF(VLOOKUP(A7,Adequacy!$A:$D,4,0)="","",VLOOKUP(A7,Adequacy!$A:$D,4,0)),"")</f>
        <v>2500</v>
      </c>
      <c r="R7" s="37">
        <f>IFERROR(IF(VLOOKUP(A7,Adequacy!$A:$E,5,0)="","",VLOOKUP(A7,Adequacy!$A:$E,5,0)),"")</f>
        <v>19000</v>
      </c>
      <c r="S7" s="37">
        <f>IFERROR(IF(VLOOKUP(A7,Adequacy!$A:$G,7,0)="","",VLOOKUP(A7,Adequacy!$A:$G,7,0)),"")</f>
        <v>4.3859649122807021</v>
      </c>
      <c r="T7" s="37" t="str">
        <f>IFERROR(IF(VLOOKUP(A7,Adequacy!$A:$H,8,0)="","",VLOOKUP(A7,Adequacy!$A:$H,8,0)),"")</f>
        <v xml:space="preserve"> </v>
      </c>
      <c r="U7" s="37" t="str">
        <f>IFERROR(IF(VLOOKUP(A7,Adequacy!$A:$J,10,0)="","",VLOOKUP(A7,Adequacy!$A:$J,10,0)),"")</f>
        <v/>
      </c>
      <c r="V7" s="37" t="str">
        <f>IFERROR(IF(VLOOKUP(A7,'Water Quality Score'!$A:$C,3,0)="","",VLOOKUP(A7,'Water Quality Score'!$A:$C,3,0)),"")</f>
        <v>yes</v>
      </c>
      <c r="W7" s="37" t="str">
        <f>IFERROR(IF(VLOOKUP(A7,'Water Quality Score'!$A:$D,4,0)="","",VLOOKUP(A7,'Water Quality Score'!$A:$D,4,0)),"")</f>
        <v/>
      </c>
      <c r="X7" s="37" t="str">
        <f>IFERROR(IF(VLOOKUP(A7,'Water Quality Score'!$A:$E,5,0)="","",VLOOKUP(A7,'Water Quality Score'!$A:$E,5,0)),"")</f>
        <v/>
      </c>
      <c r="Y7" s="37">
        <f>IFERROR(IF(VLOOKUP(A7,'Water Quality Score'!$A:$F,6,0)="","",VLOOKUP(A7,'Water Quality Score'!$A:$F,6,0)),"")</f>
        <v>0.2</v>
      </c>
      <c r="Z7" s="37">
        <f>IFERROR(IF(VLOOKUP(A7,'Reliability score'!$A:$C,3,0)="","",VLOOKUP(A7,'Reliability score'!$A:$C,3,0)),"")</f>
        <v>4</v>
      </c>
      <c r="AA7" s="37">
        <f>IFERROR(IF(VLOOKUP(A7,'Reliability score'!$A:$D,4,0)="","",VLOOKUP(A7,'Reliability score'!$A:$D,4,0)),"")</f>
        <v>0.52380952380952384</v>
      </c>
      <c r="AB7" s="37" t="str">
        <f>IFERROR(IF(VLOOKUP(A7,NRW!$A:$C,3,0)="","",VLOOKUP(A7,NRW!$A:$C,3,0)),"")</f>
        <v/>
      </c>
      <c r="AC7" s="37" t="str">
        <f>IFERROR(IF(VLOOKUP(A7,NRW!$A:$D,4,0)="","",VLOOKUP(A7,NRW!$A:$D,4,0)),"")</f>
        <v/>
      </c>
      <c r="AD7" s="37" t="str">
        <f>IFERROR(IF(VLOOKUP(A7,NRW!$A:$E,5,0)="","",VLOOKUP(A7,NRW!$A:$E,5,0)),"")</f>
        <v/>
      </c>
      <c r="AE7" s="37" t="str">
        <f>IFERROR(IF(VLOOKUP(A7,NRW!$A:$F,6,0)="","",VLOOKUP(A7,NRW!$A:$F,6,0)),"")</f>
        <v/>
      </c>
      <c r="AF7" s="37" t="str">
        <f>IFERROR(IF(VLOOKUP(A7,NRW!$A:$G,7,0)="","",VLOOKUP(A7,NRW!$A:$G,7,0)),"")</f>
        <v/>
      </c>
      <c r="AG7" s="37" t="str">
        <f>IFERROR(IF(OR(VLOOKUP(A7,NRW!$A:$H,8,0)="",VLOOKUP(A7,NRW!$A:$H,8,0)=0),"",VLOOKUP(A7,NRW!$A:$H,8,0)),"")</f>
        <v/>
      </c>
      <c r="AH7" s="37">
        <f>IFERROR(IF(VLOOKUP(A7,'O&amp;M score'!$A:$D,4,0)="","",VLOOKUP(A7,'O&amp;M score'!$A:$D,4,0)),"")</f>
        <v>875000</v>
      </c>
      <c r="AI7" s="37">
        <f>IFERROR(IF(VLOOKUP(A7,'O&amp;M score'!$A:$E,5,0)="","",VLOOKUP(A7,'O&amp;M score'!$A:$E,5,0)),"")</f>
        <v>1700000</v>
      </c>
      <c r="AJ7" s="37">
        <f>IFERROR(IF(VLOOKUP(A7,'O&amp;M score'!$A:$F,6,0)="","",VLOOKUP(A7,'O&amp;M score'!$A:$F,6,0)),"")</f>
        <v>0.51470588235294112</v>
      </c>
      <c r="AK7" s="37">
        <f>IFERROR(IF(VLOOKUP(A7,'O&amp;M score'!$A:$G,7,0)="","",VLOOKUP(A7,'O&amp;M score'!$A:$G,7,0)),"")</f>
        <v>1</v>
      </c>
      <c r="AL7" s="37" t="str">
        <f>IFERROR(IF(VLOOKUP(A7,'Metering Ratio Score'!$A:$C,3,0)="","",VLOOKUP(A7,'Metering Ratio Score'!$A:$C,3,0)),"")</f>
        <v/>
      </c>
      <c r="AM7" s="37" t="str">
        <f>IFERROR(IF(VLOOKUP(A7,'Metering Ratio Score'!$A:$D,4,0)="","",VLOOKUP(A7,'Metering Ratio Score'!$A:$D,4,0)),"")</f>
        <v/>
      </c>
      <c r="AN7" s="37" t="str">
        <f>IFERROR(IF(VLOOKUP(A7,'Metering Ratio Score'!$A:$E,5,0)="","",VLOOKUP(A7,'Metering Ratio Score'!$A:$E,5,0)),"")</f>
        <v/>
      </c>
      <c r="AO7" s="37" t="str">
        <f>IFERROR(IF(VLOOKUP(A7,'Metering Ratio Score'!$A:$F,6,0)="","",VLOOKUP(A7,'Metering Ratio Score'!$A:$F,6,0)),"")</f>
        <v/>
      </c>
      <c r="AP7" s="37" t="str">
        <f>IFERROR(IF(VLOOKUP(A7,'Grievance Addressal'!$A:$C,3,0)="","",VLOOKUP(A7,'Grievance Addressal'!$A:$C,3,0)),"")</f>
        <v/>
      </c>
      <c r="AQ7" s="37" t="str">
        <f>IFERROR(IF(VLOOKUP(A7,'Grievance Addressal'!$A:$D,4,0)="","",VLOOKUP(A7,'Grievance Addressal'!$A:$D,4,0)),"")</f>
        <v>yes</v>
      </c>
      <c r="AR7" s="37" t="str">
        <f>IFERROR(IF(VLOOKUP(A7,'Grievance Addressal'!$A:$E,5,0)="","",VLOOKUP(A7,'Grievance Addressal'!$A:$E,5,0)),"")</f>
        <v xml:space="preserve"> </v>
      </c>
      <c r="AS7" s="37" t="str">
        <f>IFERROR(IF(VLOOKUP(A7,Summary_Index!$A$5:$N$281,7,0)="","",VLOOKUP(A7,Summary_Index!$A$5:$N$281,7,0)),"")</f>
        <v/>
      </c>
      <c r="AT7" s="37" t="str">
        <f>IFERROR(IF(VLOOKUP(A7,Summary_Index!$A$5:$N$281,12,0)="","",VLOOKUP(A7,Summary_Index!$A$5:$N$281,12,0)),"")</f>
        <v/>
      </c>
      <c r="AU7" s="37" t="str">
        <f>IFERROR(IF(VLOOKUP(A7,Summary_Index!$A$5:$N$281,13,0)="","",VLOOKUP(A7,Summary_Index!$A$5:$N$281,13,0)),"")</f>
        <v/>
      </c>
      <c r="AV7" s="37" t="str">
        <f>IFERROR(IF(VLOOKUP(A7,Summary_Index!$A$5:$N$281,14,0)="","",VLOOKUP(A7,Summary_Index!$A$5:$N$281,14,0)),"")</f>
        <v/>
      </c>
    </row>
    <row r="8" spans="1:48" ht="45.6" customHeight="1" x14ac:dyDescent="0.3">
      <c r="A8" s="37">
        <f>Spatial!A8</f>
        <v>7</v>
      </c>
      <c r="B8" s="37" t="str">
        <f>Spatial!B8</f>
        <v>Nijgad_WSUC</v>
      </c>
      <c r="C8" s="37" t="str">
        <f>Spatial!C8</f>
        <v>Madhesh</v>
      </c>
      <c r="D8" s="37" t="str">
        <f>Spatial!D8</f>
        <v>Bara District</v>
      </c>
      <c r="E8" s="37" t="str">
        <f>Spatial!E8</f>
        <v>Municipality</v>
      </c>
      <c r="F8" s="37" t="str">
        <f>Spatial!F8</f>
        <v>Nijgad</v>
      </c>
      <c r="G8" s="37" t="str">
        <f>IFERROR(Spatial!G8,"")</f>
        <v>4,5,6,7,8,9</v>
      </c>
      <c r="H8" s="49">
        <v>27.0014</v>
      </c>
      <c r="I8" s="37">
        <v>85.132099999999994</v>
      </c>
      <c r="J8" s="37" t="str">
        <f t="shared" si="0"/>
        <v>Nijgad_Bara District</v>
      </c>
      <c r="K8" s="37" t="str">
        <f>IFERROR(IF(VLOOKUP(A8,'Service Coverage'!$A:$C,3,0)="","",VLOOKUP(A8,'Service Coverage'!$A:$C,3,0)),"")</f>
        <v/>
      </c>
      <c r="L8" s="37" t="str">
        <f>IFERROR(IF(VLOOKUP(A8,'Service Coverage'!$A:$D,4,0)="","",VLOOKUP(A8,'Service Coverage'!$A:$D,4,0)),"")</f>
        <v/>
      </c>
      <c r="M8" s="37" t="str">
        <f>IFERROR(IF(VLOOKUP(A8,'Service Coverage'!$A:$E,5,0)="","",VLOOKUP(A8,'Service Coverage'!$A:$E,5,0)),"")</f>
        <v/>
      </c>
      <c r="N8" s="37" t="str">
        <f>IFERROR(IF(VLOOKUP(A8,'Service Coverage'!$A:$F,6,0)="","",VLOOKUP(A8,'Service Coverage'!$A:$F,6,0)),"")</f>
        <v/>
      </c>
      <c r="O8" s="37" t="str">
        <f>IFERROR(IF(VLOOKUP(A8,'Service Coverage'!$A:$G,7,0)="","",VLOOKUP(A8,'Service Coverage'!$A:$G,7,0)),"")</f>
        <v/>
      </c>
      <c r="P8" s="37" t="str">
        <f>IFERROR(IF(VLOOKUP(A8,Adequacy!$A:$C,3,0)="","",VLOOKUP(A8,Adequacy!$A:$C,3,0)),"")</f>
        <v/>
      </c>
      <c r="Q8" s="37">
        <f>IFERROR(IF(VLOOKUP(A8,Adequacy!$A:$D,4,0)="","",VLOOKUP(A8,Adequacy!$A:$D,4,0)),"")</f>
        <v>2000</v>
      </c>
      <c r="R8" s="37" t="str">
        <f>IFERROR(IF(VLOOKUP(A8,Adequacy!$A:$E,5,0)="","",VLOOKUP(A8,Adequacy!$A:$E,5,0)),"")</f>
        <v/>
      </c>
      <c r="S8" s="37" t="str">
        <f>IFERROR(IF(VLOOKUP(A8,Adequacy!$A:$G,7,0)="","",VLOOKUP(A8,Adequacy!$A:$G,7,0)),"")</f>
        <v/>
      </c>
      <c r="T8" s="37" t="str">
        <f>IFERROR(IF(VLOOKUP(A8,Adequacy!$A:$H,8,0)="","",VLOOKUP(A8,Adequacy!$A:$H,8,0)),"")</f>
        <v xml:space="preserve"> </v>
      </c>
      <c r="U8" s="37" t="str">
        <f>IFERROR(IF(VLOOKUP(A8,Adequacy!$A:$J,10,0)="","",VLOOKUP(A8,Adequacy!$A:$J,10,0)),"")</f>
        <v/>
      </c>
      <c r="V8" s="37" t="str">
        <f>IFERROR(IF(VLOOKUP(A8,'Water Quality Score'!$A:$C,3,0)="","",VLOOKUP(A8,'Water Quality Score'!$A:$C,3,0)),"")</f>
        <v>yes</v>
      </c>
      <c r="W8" s="37" t="str">
        <f>IFERROR(IF(VLOOKUP(A8,'Water Quality Score'!$A:$D,4,0)="","",VLOOKUP(A8,'Water Quality Score'!$A:$D,4,0)),"")</f>
        <v/>
      </c>
      <c r="X8" s="37" t="str">
        <f>IFERROR(IF(VLOOKUP(A8,'Water Quality Score'!$A:$E,5,0)="","",VLOOKUP(A8,'Water Quality Score'!$A:$E,5,0)),"")</f>
        <v/>
      </c>
      <c r="Y8" s="37">
        <f>IFERROR(IF(VLOOKUP(A8,'Water Quality Score'!$A:$F,6,0)="","",VLOOKUP(A8,'Water Quality Score'!$A:$F,6,0)),"")</f>
        <v>0.2</v>
      </c>
      <c r="Z8" s="37">
        <f>IFERROR(IF(VLOOKUP(A8,'Reliability score'!$A:$C,3,0)="","",VLOOKUP(A8,'Reliability score'!$A:$C,3,0)),"")</f>
        <v>6</v>
      </c>
      <c r="AA8" s="37">
        <f>IFERROR(IF(VLOOKUP(A8,'Reliability score'!$A:$D,4,0)="","",VLOOKUP(A8,'Reliability score'!$A:$D,4,0)),"")</f>
        <v>0.5714285714285714</v>
      </c>
      <c r="AB8" s="37" t="str">
        <f>IFERROR(IF(VLOOKUP(A8,NRW!$A:$C,3,0)="","",VLOOKUP(A8,NRW!$A:$C,3,0)),"")</f>
        <v/>
      </c>
      <c r="AC8" s="37" t="str">
        <f>IFERROR(IF(VLOOKUP(A8,NRW!$A:$D,4,0)="","",VLOOKUP(A8,NRW!$A:$D,4,0)),"")</f>
        <v/>
      </c>
      <c r="AD8" s="37" t="str">
        <f>IFERROR(IF(VLOOKUP(A8,NRW!$A:$E,5,0)="","",VLOOKUP(A8,NRW!$A:$E,5,0)),"")</f>
        <v/>
      </c>
      <c r="AE8" s="37" t="str">
        <f>IFERROR(IF(VLOOKUP(A8,NRW!$A:$F,6,0)="","",VLOOKUP(A8,NRW!$A:$F,6,0)),"")</f>
        <v/>
      </c>
      <c r="AF8" s="37" t="str">
        <f>IFERROR(IF(VLOOKUP(A8,NRW!$A:$G,7,0)="","",VLOOKUP(A8,NRW!$A:$G,7,0)),"")</f>
        <v/>
      </c>
      <c r="AG8" s="37" t="str">
        <f>IFERROR(IF(OR(VLOOKUP(A8,NRW!$A:$H,8,0)="",VLOOKUP(A8,NRW!$A:$H,8,0)=0),"",VLOOKUP(A8,NRW!$A:$H,8,0)),"")</f>
        <v/>
      </c>
      <c r="AH8" s="37" t="str">
        <f>IFERROR(IF(VLOOKUP(A8,'O&amp;M score'!$A:$D,4,0)="","",VLOOKUP(A8,'O&amp;M score'!$A:$D,4,0)),"")</f>
        <v/>
      </c>
      <c r="AI8" s="37" t="str">
        <f>IFERROR(IF(VLOOKUP(A8,'O&amp;M score'!$A:$E,5,0)="","",VLOOKUP(A8,'O&amp;M score'!$A:$E,5,0)),"")</f>
        <v/>
      </c>
      <c r="AJ8" s="37" t="str">
        <f>IFERROR(IF(VLOOKUP(A8,'O&amp;M score'!$A:$F,6,0)="","",VLOOKUP(A8,'O&amp;M score'!$A:$F,6,0)),"")</f>
        <v/>
      </c>
      <c r="AK8" s="37" t="str">
        <f>IFERROR(IF(VLOOKUP(A8,'O&amp;M score'!$A:$G,7,0)="","",VLOOKUP(A8,'O&amp;M score'!$A:$G,7,0)),"")</f>
        <v/>
      </c>
      <c r="AL8" s="37" t="str">
        <f>IFERROR(IF(VLOOKUP(A8,'Metering Ratio Score'!$A:$C,3,0)="","",VLOOKUP(A8,'Metering Ratio Score'!$A:$C,3,0)),"")</f>
        <v/>
      </c>
      <c r="AM8" s="37" t="str">
        <f>IFERROR(IF(VLOOKUP(A8,'Metering Ratio Score'!$A:$D,4,0)="","",VLOOKUP(A8,'Metering Ratio Score'!$A:$D,4,0)),"")</f>
        <v/>
      </c>
      <c r="AN8" s="37" t="str">
        <f>IFERROR(IF(VLOOKUP(A8,'Metering Ratio Score'!$A:$E,5,0)="","",VLOOKUP(A8,'Metering Ratio Score'!$A:$E,5,0)),"")</f>
        <v/>
      </c>
      <c r="AO8" s="37" t="str">
        <f>IFERROR(IF(VLOOKUP(A8,'Metering Ratio Score'!$A:$F,6,0)="","",VLOOKUP(A8,'Metering Ratio Score'!$A:$F,6,0)),"")</f>
        <v/>
      </c>
      <c r="AP8" s="37" t="str">
        <f>IFERROR(IF(VLOOKUP(A8,'Grievance Addressal'!$A:$C,3,0)="","",VLOOKUP(A8,'Grievance Addressal'!$A:$C,3,0)),"")</f>
        <v/>
      </c>
      <c r="AQ8" s="37" t="str">
        <f>IFERROR(IF(VLOOKUP(A8,'Grievance Addressal'!$A:$D,4,0)="","",VLOOKUP(A8,'Grievance Addressal'!$A:$D,4,0)),"")</f>
        <v>yes</v>
      </c>
      <c r="AR8" s="37" t="str">
        <f>IFERROR(IF(VLOOKUP(A8,'Grievance Addressal'!$A:$E,5,0)="","",VLOOKUP(A8,'Grievance Addressal'!$A:$E,5,0)),"")</f>
        <v xml:space="preserve"> </v>
      </c>
      <c r="AS8" s="37" t="str">
        <f>IFERROR(IF(VLOOKUP(A8,Summary_Index!$A$5:$N$281,7,0)="","",VLOOKUP(A8,Summary_Index!$A$5:$N$281,7,0)),"")</f>
        <v/>
      </c>
      <c r="AT8" s="37" t="str">
        <f>IFERROR(IF(VLOOKUP(A8,Summary_Index!$A$5:$N$281,12,0)="","",VLOOKUP(A8,Summary_Index!$A$5:$N$281,12,0)),"")</f>
        <v/>
      </c>
      <c r="AU8" s="37" t="str">
        <f>IFERROR(IF(VLOOKUP(A8,Summary_Index!$A$5:$N$281,13,0)="","",VLOOKUP(A8,Summary_Index!$A$5:$N$281,13,0)),"")</f>
        <v/>
      </c>
      <c r="AV8" s="37" t="str">
        <f>IFERROR(IF(VLOOKUP(A8,Summary_Index!$A$5:$N$281,14,0)="","",VLOOKUP(A8,Summary_Index!$A$5:$N$281,14,0)),"")</f>
        <v/>
      </c>
    </row>
    <row r="9" spans="1:48" ht="45.6" customHeight="1" x14ac:dyDescent="0.3">
      <c r="A9" s="37">
        <f>Spatial!A9</f>
        <v>8</v>
      </c>
      <c r="B9" s="37" t="str">
        <f>Spatial!B9</f>
        <v>Tinthana_WSUC</v>
      </c>
      <c r="C9" s="37" t="str">
        <f>Spatial!C9</f>
        <v>Bagmati</v>
      </c>
      <c r="D9" s="37" t="str">
        <f>Spatial!D9</f>
        <v>Kathmandu District</v>
      </c>
      <c r="E9" s="37" t="str">
        <f>Spatial!E9</f>
        <v>Municipality</v>
      </c>
      <c r="F9" s="37" t="str">
        <f>Spatial!F9</f>
        <v>Chandragiri</v>
      </c>
      <c r="G9" s="37">
        <f>IFERROR(Spatial!G9,"")</f>
        <v>0</v>
      </c>
      <c r="H9" s="50">
        <v>27.662800000000001</v>
      </c>
      <c r="I9" s="37">
        <v>85.243300000000005</v>
      </c>
      <c r="J9" s="37" t="str">
        <f t="shared" si="0"/>
        <v>Chandragiri_Kathmandu District</v>
      </c>
      <c r="K9" s="37" t="str">
        <f>IFERROR(IF(VLOOKUP(A9,'Service Coverage'!$A:$C,3,0)="","",VLOOKUP(A9,'Service Coverage'!$A:$C,3,0)),"")</f>
        <v/>
      </c>
      <c r="L9" s="37">
        <f>IFERROR(IF(VLOOKUP(A9,'Service Coverage'!$A:$D,4,0)="","",VLOOKUP(A9,'Service Coverage'!$A:$D,4,0)),"")</f>
        <v>1979</v>
      </c>
      <c r="M9" s="37" t="str">
        <f>IFERROR(IF(VLOOKUP(A9,'Service Coverage'!$A:$E,5,0)="","",VLOOKUP(A9,'Service Coverage'!$A:$E,5,0)),"")</f>
        <v/>
      </c>
      <c r="N9" s="37" t="str">
        <f>IFERROR(IF(VLOOKUP(A9,'Service Coverage'!$A:$F,6,0)="","",VLOOKUP(A9,'Service Coverage'!$A:$F,6,0)),"")</f>
        <v/>
      </c>
      <c r="O9" s="37" t="str">
        <f>IFERROR(IF(VLOOKUP(A9,'Service Coverage'!$A:$G,7,0)="","",VLOOKUP(A9,'Service Coverage'!$A:$G,7,0)),"")</f>
        <v/>
      </c>
      <c r="P9" s="37" t="str">
        <f>IFERROR(IF(VLOOKUP(A9,Adequacy!$A:$C,3,0)="","",VLOOKUP(A9,Adequacy!$A:$C,3,0)),"")</f>
        <v/>
      </c>
      <c r="Q9" s="37">
        <f>IFERROR(IF(VLOOKUP(A9,Adequacy!$A:$D,4,0)="","",VLOOKUP(A9,Adequacy!$A:$D,4,0)),"")</f>
        <v>1300</v>
      </c>
      <c r="R9" s="37" t="str">
        <f>IFERROR(IF(VLOOKUP(A9,Adequacy!$A:$E,5,0)="","",VLOOKUP(A9,Adequacy!$A:$E,5,0)),"")</f>
        <v/>
      </c>
      <c r="S9" s="37" t="str">
        <f>IFERROR(IF(VLOOKUP(A9,Adequacy!$A:$G,7,0)="","",VLOOKUP(A9,Adequacy!$A:$G,7,0)),"")</f>
        <v/>
      </c>
      <c r="T9" s="37" t="str">
        <f>IFERROR(IF(VLOOKUP(A9,Adequacy!$A:$H,8,0)="","",VLOOKUP(A9,Adequacy!$A:$H,8,0)),"")</f>
        <v xml:space="preserve"> </v>
      </c>
      <c r="U9" s="37" t="str">
        <f>IFERROR(IF(VLOOKUP(A9,Adequacy!$A:$J,10,0)="","",VLOOKUP(A9,Adequacy!$A:$J,10,0)),"")</f>
        <v/>
      </c>
      <c r="V9" s="37" t="str">
        <f>IFERROR(IF(VLOOKUP(A9,'Water Quality Score'!$A:$C,3,0)="","",VLOOKUP(A9,'Water Quality Score'!$A:$C,3,0)),"")</f>
        <v>yes</v>
      </c>
      <c r="W9" s="37" t="str">
        <f>IFERROR(IF(VLOOKUP(A9,'Water Quality Score'!$A:$D,4,0)="","",VLOOKUP(A9,'Water Quality Score'!$A:$D,4,0)),"")</f>
        <v/>
      </c>
      <c r="X9" s="37" t="str">
        <f>IFERROR(IF(VLOOKUP(A9,'Water Quality Score'!$A:$E,5,0)="","",VLOOKUP(A9,'Water Quality Score'!$A:$E,5,0)),"")</f>
        <v/>
      </c>
      <c r="Y9" s="37">
        <f>IFERROR(IF(VLOOKUP(A9,'Water Quality Score'!$A:$F,6,0)="","",VLOOKUP(A9,'Water Quality Score'!$A:$F,6,0)),"")</f>
        <v>0.2</v>
      </c>
      <c r="Z9" s="37" t="str">
        <f>IFERROR(IF(VLOOKUP(A9,'Reliability score'!$A:$C,3,0)="","",VLOOKUP(A9,'Reliability score'!$A:$C,3,0)),"")</f>
        <v/>
      </c>
      <c r="AA9" s="37" t="str">
        <f>IFERROR(IF(VLOOKUP(A9,'Reliability score'!$A:$D,4,0)="","",VLOOKUP(A9,'Reliability score'!$A:$D,4,0)),"")</f>
        <v xml:space="preserve"> </v>
      </c>
      <c r="AB9" s="37" t="str">
        <f>IFERROR(IF(VLOOKUP(A9,NRW!$A:$C,3,0)="","",VLOOKUP(A9,NRW!$A:$C,3,0)),"")</f>
        <v/>
      </c>
      <c r="AC9" s="37" t="str">
        <f>IFERROR(IF(VLOOKUP(A9,NRW!$A:$D,4,0)="","",VLOOKUP(A9,NRW!$A:$D,4,0)),"")</f>
        <v/>
      </c>
      <c r="AD9" s="37" t="str">
        <f>IFERROR(IF(VLOOKUP(A9,NRW!$A:$E,5,0)="","",VLOOKUP(A9,NRW!$A:$E,5,0)),"")</f>
        <v/>
      </c>
      <c r="AE9" s="37" t="str">
        <f>IFERROR(IF(VLOOKUP(A9,NRW!$A:$F,6,0)="","",VLOOKUP(A9,NRW!$A:$F,6,0)),"")</f>
        <v/>
      </c>
      <c r="AF9" s="37" t="str">
        <f>IFERROR(IF(VLOOKUP(A9,NRW!$A:$G,7,0)="","",VLOOKUP(A9,NRW!$A:$G,7,0)),"")</f>
        <v/>
      </c>
      <c r="AG9" s="37" t="str">
        <f>IFERROR(IF(OR(VLOOKUP(A9,NRW!$A:$H,8,0)="",VLOOKUP(A9,NRW!$A:$H,8,0)=0),"",VLOOKUP(A9,NRW!$A:$H,8,0)),"")</f>
        <v/>
      </c>
      <c r="AH9" s="37" t="str">
        <f>IFERROR(IF(VLOOKUP(A9,'O&amp;M score'!$A:$D,4,0)="","",VLOOKUP(A9,'O&amp;M score'!$A:$D,4,0)),"")</f>
        <v/>
      </c>
      <c r="AI9" s="37" t="str">
        <f>IFERROR(IF(VLOOKUP(A9,'O&amp;M score'!$A:$E,5,0)="","",VLOOKUP(A9,'O&amp;M score'!$A:$E,5,0)),"")</f>
        <v/>
      </c>
      <c r="AJ9" s="37" t="str">
        <f>IFERROR(IF(VLOOKUP(A9,'O&amp;M score'!$A:$F,6,0)="","",VLOOKUP(A9,'O&amp;M score'!$A:$F,6,0)),"")</f>
        <v/>
      </c>
      <c r="AK9" s="37" t="str">
        <f>IFERROR(IF(VLOOKUP(A9,'O&amp;M score'!$A:$G,7,0)="","",VLOOKUP(A9,'O&amp;M score'!$A:$G,7,0)),"")</f>
        <v/>
      </c>
      <c r="AL9" s="37" t="str">
        <f>IFERROR(IF(VLOOKUP(A9,'Metering Ratio Score'!$A:$C,3,0)="","",VLOOKUP(A9,'Metering Ratio Score'!$A:$C,3,0)),"")</f>
        <v/>
      </c>
      <c r="AM9" s="37" t="str">
        <f>IFERROR(IF(VLOOKUP(A9,'Metering Ratio Score'!$A:$D,4,0)="","",VLOOKUP(A9,'Metering Ratio Score'!$A:$D,4,0)),"")</f>
        <v/>
      </c>
      <c r="AN9" s="37" t="str">
        <f>IFERROR(IF(VLOOKUP(A9,'Metering Ratio Score'!$A:$E,5,0)="","",VLOOKUP(A9,'Metering Ratio Score'!$A:$E,5,0)),"")</f>
        <v/>
      </c>
      <c r="AO9" s="37" t="str">
        <f>IFERROR(IF(VLOOKUP(A9,'Metering Ratio Score'!$A:$F,6,0)="","",VLOOKUP(A9,'Metering Ratio Score'!$A:$F,6,0)),"")</f>
        <v/>
      </c>
      <c r="AP9" s="37" t="str">
        <f>IFERROR(IF(VLOOKUP(A9,'Grievance Addressal'!$A:$C,3,0)="","",VLOOKUP(A9,'Grievance Addressal'!$A:$C,3,0)),"")</f>
        <v/>
      </c>
      <c r="AQ9" s="37" t="str">
        <f>IFERROR(IF(VLOOKUP(A9,'Grievance Addressal'!$A:$D,4,0)="","",VLOOKUP(A9,'Grievance Addressal'!$A:$D,4,0)),"")</f>
        <v>yes</v>
      </c>
      <c r="AR9" s="37" t="str">
        <f>IFERROR(IF(VLOOKUP(A9,'Grievance Addressal'!$A:$E,5,0)="","",VLOOKUP(A9,'Grievance Addressal'!$A:$E,5,0)),"")</f>
        <v xml:space="preserve"> </v>
      </c>
      <c r="AS9" s="37" t="str">
        <f>IFERROR(IF(VLOOKUP(A9,Summary_Index!$A$5:$N$281,7,0)="","",VLOOKUP(A9,Summary_Index!$A$5:$N$281,7,0)),"")</f>
        <v/>
      </c>
      <c r="AT9" s="37" t="str">
        <f>IFERROR(IF(VLOOKUP(A9,Summary_Index!$A$5:$N$281,12,0)="","",VLOOKUP(A9,Summary_Index!$A$5:$N$281,12,0)),"")</f>
        <v/>
      </c>
      <c r="AU9" s="37" t="str">
        <f>IFERROR(IF(VLOOKUP(A9,Summary_Index!$A$5:$N$281,13,0)="","",VLOOKUP(A9,Summary_Index!$A$5:$N$281,13,0)),"")</f>
        <v/>
      </c>
      <c r="AV9" s="37" t="str">
        <f>IFERROR(IF(VLOOKUP(A9,Summary_Index!$A$5:$N$281,14,0)="","",VLOOKUP(A9,Summary_Index!$A$5:$N$281,14,0)),"")</f>
        <v/>
      </c>
    </row>
    <row r="10" spans="1:48" ht="45.6" customHeight="1" x14ac:dyDescent="0.3">
      <c r="A10" s="37">
        <f>Spatial!A10</f>
        <v>9</v>
      </c>
      <c r="B10" s="37" t="str">
        <f>Spatial!B10</f>
        <v>Birgunj_WSUC</v>
      </c>
      <c r="C10" s="37" t="str">
        <f>Spatial!C10</f>
        <v>Madhesh</v>
      </c>
      <c r="D10" s="37" t="str">
        <f>Spatial!D10</f>
        <v>Parsa District</v>
      </c>
      <c r="E10" s="37" t="str">
        <f>Spatial!E10</f>
        <v>Metropolitan</v>
      </c>
      <c r="F10" s="37" t="str">
        <f>Spatial!F10</f>
        <v>Birgunj</v>
      </c>
      <c r="G10" s="52" t="str">
        <f>IFERROR(Spatial!G10,"")</f>
        <v>1 ,2,3,4,5,6,7,8,9,10,11,12,13,14,15,16,17,18,19,20,21,22,23,24</v>
      </c>
      <c r="H10" s="49">
        <v>27.010400000000001</v>
      </c>
      <c r="I10" s="37">
        <v>84.877200000000002</v>
      </c>
      <c r="J10" s="37" t="str">
        <f t="shared" si="0"/>
        <v>Birgunj_Parsa District</v>
      </c>
      <c r="K10" s="37" t="str">
        <f>IFERROR(IF(VLOOKUP(A10,'Service Coverage'!$A:$C,3,0)="","",VLOOKUP(A10,'Service Coverage'!$A:$C,3,0)),"")</f>
        <v/>
      </c>
      <c r="L10" s="37" t="str">
        <f>IFERROR(IF(VLOOKUP(A10,'Service Coverage'!$A:$D,4,0)="","",VLOOKUP(A10,'Service Coverage'!$A:$D,4,0)),"")</f>
        <v/>
      </c>
      <c r="M10" s="37" t="str">
        <f>IFERROR(IF(VLOOKUP(A10,'Service Coverage'!$A:$E,5,0)="","",VLOOKUP(A10,'Service Coverage'!$A:$E,5,0)),"")</f>
        <v/>
      </c>
      <c r="N10" s="37" t="str">
        <f>IFERROR(IF(VLOOKUP(A10,'Service Coverage'!$A:$F,6,0)="","",VLOOKUP(A10,'Service Coverage'!$A:$F,6,0)),"")</f>
        <v/>
      </c>
      <c r="O10" s="37" t="str">
        <f>IFERROR(IF(VLOOKUP(A10,'Service Coverage'!$A:$G,7,0)="","",VLOOKUP(A10,'Service Coverage'!$A:$G,7,0)),"")</f>
        <v/>
      </c>
      <c r="P10" s="37" t="str">
        <f>IFERROR(IF(VLOOKUP(A10,Adequacy!$A:$C,3,0)="","",VLOOKUP(A10,Adequacy!$A:$C,3,0)),"")</f>
        <v/>
      </c>
      <c r="Q10" s="37" t="str">
        <f>IFERROR(IF(VLOOKUP(A10,Adequacy!$A:$D,4,0)="","",VLOOKUP(A10,Adequacy!$A:$D,4,0)),"")</f>
        <v/>
      </c>
      <c r="R10" s="37" t="str">
        <f>IFERROR(IF(VLOOKUP(A10,Adequacy!$A:$E,5,0)="","",VLOOKUP(A10,Adequacy!$A:$E,5,0)),"")</f>
        <v/>
      </c>
      <c r="S10" s="37" t="str">
        <f>IFERROR(IF(VLOOKUP(A10,Adequacy!$A:$G,7,0)="","",VLOOKUP(A10,Adequacy!$A:$G,7,0)),"")</f>
        <v/>
      </c>
      <c r="T10" s="37" t="str">
        <f>IFERROR(IF(VLOOKUP(A10,Adequacy!$A:$H,8,0)="","",VLOOKUP(A10,Adequacy!$A:$H,8,0)),"")</f>
        <v xml:space="preserve"> </v>
      </c>
      <c r="U10" s="37" t="str">
        <f>IFERROR(IF(VLOOKUP(A10,Adequacy!$A:$J,10,0)="","",VLOOKUP(A10,Adequacy!$A:$J,10,0)),"")</f>
        <v/>
      </c>
      <c r="V10" s="37" t="str">
        <f>IFERROR(IF(VLOOKUP(A10,'Water Quality Score'!$A:$C,3,0)="","",VLOOKUP(A10,'Water Quality Score'!$A:$C,3,0)),"")</f>
        <v>yes</v>
      </c>
      <c r="W10" s="37" t="str">
        <f>IFERROR(IF(VLOOKUP(A10,'Water Quality Score'!$A:$D,4,0)="","",VLOOKUP(A10,'Water Quality Score'!$A:$D,4,0)),"")</f>
        <v/>
      </c>
      <c r="X10" s="37" t="str">
        <f>IFERROR(IF(VLOOKUP(A10,'Water Quality Score'!$A:$E,5,0)="","",VLOOKUP(A10,'Water Quality Score'!$A:$E,5,0)),"")</f>
        <v/>
      </c>
      <c r="Y10" s="37">
        <f>IFERROR(IF(VLOOKUP(A10,'Water Quality Score'!$A:$F,6,0)="","",VLOOKUP(A10,'Water Quality Score'!$A:$F,6,0)),"")</f>
        <v>0.2</v>
      </c>
      <c r="Z10" s="37">
        <f>IFERROR(IF(VLOOKUP(A10,'Reliability score'!$A:$C,3,0)="","",VLOOKUP(A10,'Reliability score'!$A:$C,3,0)),"")</f>
        <v>12</v>
      </c>
      <c r="AA10" s="37">
        <f>IFERROR(IF(VLOOKUP(A10,'Reliability score'!$A:$D,4,0)="","",VLOOKUP(A10,'Reliability score'!$A:$D,4,0)),"")</f>
        <v>0.7142857142857143</v>
      </c>
      <c r="AB10" s="37" t="str">
        <f>IFERROR(IF(VLOOKUP(A10,NRW!$A:$C,3,0)="","",VLOOKUP(A10,NRW!$A:$C,3,0)),"")</f>
        <v/>
      </c>
      <c r="AC10" s="37" t="str">
        <f>IFERROR(IF(VLOOKUP(A10,NRW!$A:$D,4,0)="","",VLOOKUP(A10,NRW!$A:$D,4,0)),"")</f>
        <v/>
      </c>
      <c r="AD10" s="37" t="str">
        <f>IFERROR(IF(VLOOKUP(A10,NRW!$A:$E,5,0)="","",VLOOKUP(A10,NRW!$A:$E,5,0)),"")</f>
        <v/>
      </c>
      <c r="AE10" s="37" t="str">
        <f>IFERROR(IF(VLOOKUP(A10,NRW!$A:$F,6,0)="","",VLOOKUP(A10,NRW!$A:$F,6,0)),"")</f>
        <v/>
      </c>
      <c r="AF10" s="37" t="str">
        <f>IFERROR(IF(VLOOKUP(A10,NRW!$A:$G,7,0)="","",VLOOKUP(A10,NRW!$A:$G,7,0)),"")</f>
        <v/>
      </c>
      <c r="AG10" s="37" t="str">
        <f>IFERROR(IF(OR(VLOOKUP(A10,NRW!$A:$H,8,0)="",VLOOKUP(A10,NRW!$A:$H,8,0)=0),"",VLOOKUP(A10,NRW!$A:$H,8,0)),"")</f>
        <v/>
      </c>
      <c r="AH10" s="37" t="str">
        <f>IFERROR(IF(VLOOKUP(A10,'O&amp;M score'!$A:$D,4,0)="","",VLOOKUP(A10,'O&amp;M score'!$A:$D,4,0)),"")</f>
        <v/>
      </c>
      <c r="AI10" s="37" t="str">
        <f>IFERROR(IF(VLOOKUP(A10,'O&amp;M score'!$A:$E,5,0)="","",VLOOKUP(A10,'O&amp;M score'!$A:$E,5,0)),"")</f>
        <v/>
      </c>
      <c r="AJ10" s="37" t="str">
        <f>IFERROR(IF(VLOOKUP(A10,'O&amp;M score'!$A:$F,6,0)="","",VLOOKUP(A10,'O&amp;M score'!$A:$F,6,0)),"")</f>
        <v/>
      </c>
      <c r="AK10" s="37" t="str">
        <f>IFERROR(IF(VLOOKUP(A10,'O&amp;M score'!$A:$G,7,0)="","",VLOOKUP(A10,'O&amp;M score'!$A:$G,7,0)),"")</f>
        <v/>
      </c>
      <c r="AL10" s="37" t="str">
        <f>IFERROR(IF(VLOOKUP(A10,'Metering Ratio Score'!$A:$C,3,0)="","",VLOOKUP(A10,'Metering Ratio Score'!$A:$C,3,0)),"")</f>
        <v/>
      </c>
      <c r="AM10" s="37" t="str">
        <f>IFERROR(IF(VLOOKUP(A10,'Metering Ratio Score'!$A:$D,4,0)="","",VLOOKUP(A10,'Metering Ratio Score'!$A:$D,4,0)),"")</f>
        <v/>
      </c>
      <c r="AN10" s="37" t="str">
        <f>IFERROR(IF(VLOOKUP(A10,'Metering Ratio Score'!$A:$E,5,0)="","",VLOOKUP(A10,'Metering Ratio Score'!$A:$E,5,0)),"")</f>
        <v/>
      </c>
      <c r="AO10" s="37" t="str">
        <f>IFERROR(IF(VLOOKUP(A10,'Metering Ratio Score'!$A:$F,6,0)="","",VLOOKUP(A10,'Metering Ratio Score'!$A:$F,6,0)),"")</f>
        <v/>
      </c>
      <c r="AP10" s="37" t="str">
        <f>IFERROR(IF(VLOOKUP(A10,'Grievance Addressal'!$A:$C,3,0)="","",VLOOKUP(A10,'Grievance Addressal'!$A:$C,3,0)),"")</f>
        <v/>
      </c>
      <c r="AQ10" s="37" t="str">
        <f>IFERROR(IF(VLOOKUP(A10,'Grievance Addressal'!$A:$D,4,0)="","",VLOOKUP(A10,'Grievance Addressal'!$A:$D,4,0)),"")</f>
        <v>yes</v>
      </c>
      <c r="AR10" s="37" t="str">
        <f>IFERROR(IF(VLOOKUP(A10,'Grievance Addressal'!$A:$E,5,0)="","",VLOOKUP(A10,'Grievance Addressal'!$A:$E,5,0)),"")</f>
        <v xml:space="preserve"> </v>
      </c>
      <c r="AS10" s="37" t="str">
        <f>IFERROR(IF(VLOOKUP(A10,Summary_Index!$A$5:$N$281,7,0)="","",VLOOKUP(A10,Summary_Index!$A$5:$N$281,7,0)),"")</f>
        <v/>
      </c>
      <c r="AT10" s="37" t="str">
        <f>IFERROR(IF(VLOOKUP(A10,Summary_Index!$A$5:$N$281,12,0)="","",VLOOKUP(A10,Summary_Index!$A$5:$N$281,12,0)),"")</f>
        <v/>
      </c>
      <c r="AU10" s="37" t="str">
        <f>IFERROR(IF(VLOOKUP(A10,Summary_Index!$A$5:$N$281,13,0)="","",VLOOKUP(A10,Summary_Index!$A$5:$N$281,13,0)),"")</f>
        <v/>
      </c>
      <c r="AV10" s="37" t="str">
        <f>IFERROR(IF(VLOOKUP(A10,Summary_Index!$A$5:$N$281,14,0)="","",VLOOKUP(A10,Summary_Index!$A$5:$N$281,14,0)),"")</f>
        <v/>
      </c>
    </row>
    <row r="11" spans="1:48" ht="45.6" customHeight="1" x14ac:dyDescent="0.3">
      <c r="A11" s="37">
        <f>Spatial!A11</f>
        <v>10</v>
      </c>
      <c r="B11" s="37" t="str">
        <f>Spatial!B11</f>
        <v>Gaur_WSUC</v>
      </c>
      <c r="C11" s="37" t="str">
        <f>Spatial!C11</f>
        <v>Madhesh</v>
      </c>
      <c r="D11" s="37" t="str">
        <f>Spatial!D11</f>
        <v>Rautahat District</v>
      </c>
      <c r="E11" s="37" t="str">
        <f>Spatial!E11</f>
        <v>Municipality</v>
      </c>
      <c r="F11" s="37" t="str">
        <f>Spatial!F11</f>
        <v>Gaur</v>
      </c>
      <c r="G11" s="37">
        <f>IFERROR(Spatial!G11,"")</f>
        <v>0</v>
      </c>
      <c r="H11" s="50">
        <v>26.773800000000001</v>
      </c>
      <c r="I11" s="37">
        <v>85.279200000000003</v>
      </c>
      <c r="J11" s="37" t="str">
        <f t="shared" si="0"/>
        <v>Gaur_Rautahat District</v>
      </c>
      <c r="K11" s="37" t="str">
        <f>IFERROR(IF(VLOOKUP(A11,'Service Coverage'!$A:$C,3,0)="","",VLOOKUP(A11,'Service Coverage'!$A:$C,3,0)),"")</f>
        <v/>
      </c>
      <c r="L11" s="37">
        <f>IFERROR(IF(VLOOKUP(A11,'Service Coverage'!$A:$D,4,0)="","",VLOOKUP(A11,'Service Coverage'!$A:$D,4,0)),"")</f>
        <v>1666</v>
      </c>
      <c r="M11" s="37" t="str">
        <f>IFERROR(IF(VLOOKUP(A11,'Service Coverage'!$A:$E,5,0)="","",VLOOKUP(A11,'Service Coverage'!$A:$E,5,0)),"")</f>
        <v/>
      </c>
      <c r="N11" s="37" t="str">
        <f>IFERROR(IF(VLOOKUP(A11,'Service Coverage'!$A:$F,6,0)="","",VLOOKUP(A11,'Service Coverage'!$A:$F,6,0)),"")</f>
        <v/>
      </c>
      <c r="O11" s="37" t="str">
        <f>IFERROR(IF(VLOOKUP(A11,'Service Coverage'!$A:$G,7,0)="","",VLOOKUP(A11,'Service Coverage'!$A:$G,7,0)),"")</f>
        <v/>
      </c>
      <c r="P11" s="37" t="str">
        <f>IFERROR(IF(VLOOKUP(A11,Adequacy!$A:$C,3,0)="","",VLOOKUP(A11,Adequacy!$A:$C,3,0)),"")</f>
        <v/>
      </c>
      <c r="Q11" s="37">
        <f>IFERROR(IF(VLOOKUP(A11,Adequacy!$A:$D,4,0)="","",VLOOKUP(A11,Adequacy!$A:$D,4,0)),"")</f>
        <v>675</v>
      </c>
      <c r="R11" s="37" t="str">
        <f>IFERROR(IF(VLOOKUP(A11,Adequacy!$A:$E,5,0)="","",VLOOKUP(A11,Adequacy!$A:$E,5,0)),"")</f>
        <v/>
      </c>
      <c r="S11" s="37" t="str">
        <f>IFERROR(IF(VLOOKUP(A11,Adequacy!$A:$G,7,0)="","",VLOOKUP(A11,Adequacy!$A:$G,7,0)),"")</f>
        <v/>
      </c>
      <c r="T11" s="37" t="str">
        <f>IFERROR(IF(VLOOKUP(A11,Adequacy!$A:$H,8,0)="","",VLOOKUP(A11,Adequacy!$A:$H,8,0)),"")</f>
        <v xml:space="preserve"> </v>
      </c>
      <c r="U11" s="37" t="str">
        <f>IFERROR(IF(VLOOKUP(A11,Adequacy!$A:$J,10,0)="","",VLOOKUP(A11,Adequacy!$A:$J,10,0)),"")</f>
        <v/>
      </c>
      <c r="V11" s="37" t="str">
        <f>IFERROR(IF(VLOOKUP(A11,'Water Quality Score'!$A:$C,3,0)="","",VLOOKUP(A11,'Water Quality Score'!$A:$C,3,0)),"")</f>
        <v>yes</v>
      </c>
      <c r="W11" s="37" t="str">
        <f>IFERROR(IF(VLOOKUP(A11,'Water Quality Score'!$A:$D,4,0)="","",VLOOKUP(A11,'Water Quality Score'!$A:$D,4,0)),"")</f>
        <v/>
      </c>
      <c r="X11" s="37" t="str">
        <f>IFERROR(IF(VLOOKUP(A11,'Water Quality Score'!$A:$E,5,0)="","",VLOOKUP(A11,'Water Quality Score'!$A:$E,5,0)),"")</f>
        <v/>
      </c>
      <c r="Y11" s="37">
        <f>IFERROR(IF(VLOOKUP(A11,'Water Quality Score'!$A:$F,6,0)="","",VLOOKUP(A11,'Water Quality Score'!$A:$F,6,0)),"")</f>
        <v>0.2</v>
      </c>
      <c r="Z11" s="37">
        <f>IFERROR(IF(VLOOKUP(A11,'Reliability score'!$A:$C,3,0)="","",VLOOKUP(A11,'Reliability score'!$A:$C,3,0)),"")</f>
        <v>11</v>
      </c>
      <c r="AA11" s="37">
        <f>IFERROR(IF(VLOOKUP(A11,'Reliability score'!$A:$D,4,0)="","",VLOOKUP(A11,'Reliability score'!$A:$D,4,0)),"")</f>
        <v>0.69047619047619047</v>
      </c>
      <c r="AB11" s="37" t="str">
        <f>IFERROR(IF(VLOOKUP(A11,NRW!$A:$C,3,0)="","",VLOOKUP(A11,NRW!$A:$C,3,0)),"")</f>
        <v/>
      </c>
      <c r="AC11" s="37" t="str">
        <f>IFERROR(IF(VLOOKUP(A11,NRW!$A:$D,4,0)="","",VLOOKUP(A11,NRW!$A:$D,4,0)),"")</f>
        <v/>
      </c>
      <c r="AD11" s="37" t="str">
        <f>IFERROR(IF(VLOOKUP(A11,NRW!$A:$E,5,0)="","",VLOOKUP(A11,NRW!$A:$E,5,0)),"")</f>
        <v/>
      </c>
      <c r="AE11" s="37" t="str">
        <f>IFERROR(IF(VLOOKUP(A11,NRW!$A:$F,6,0)="","",VLOOKUP(A11,NRW!$A:$F,6,0)),"")</f>
        <v/>
      </c>
      <c r="AF11" s="37" t="str">
        <f>IFERROR(IF(VLOOKUP(A11,NRW!$A:$G,7,0)="","",VLOOKUP(A11,NRW!$A:$G,7,0)),"")</f>
        <v/>
      </c>
      <c r="AG11" s="37" t="str">
        <f>IFERROR(IF(OR(VLOOKUP(A11,NRW!$A:$H,8,0)="",VLOOKUP(A11,NRW!$A:$H,8,0)=0),"",VLOOKUP(A11,NRW!$A:$H,8,0)),"")</f>
        <v/>
      </c>
      <c r="AH11" s="37" t="str">
        <f>IFERROR(IF(VLOOKUP(A11,'O&amp;M score'!$A:$D,4,0)="","",VLOOKUP(A11,'O&amp;M score'!$A:$D,4,0)),"")</f>
        <v/>
      </c>
      <c r="AI11" s="37" t="str">
        <f>IFERROR(IF(VLOOKUP(A11,'O&amp;M score'!$A:$E,5,0)="","",VLOOKUP(A11,'O&amp;M score'!$A:$E,5,0)),"")</f>
        <v/>
      </c>
      <c r="AJ11" s="37" t="str">
        <f>IFERROR(IF(VLOOKUP(A11,'O&amp;M score'!$A:$F,6,0)="","",VLOOKUP(A11,'O&amp;M score'!$A:$F,6,0)),"")</f>
        <v/>
      </c>
      <c r="AK11" s="37" t="str">
        <f>IFERROR(IF(VLOOKUP(A11,'O&amp;M score'!$A:$G,7,0)="","",VLOOKUP(A11,'O&amp;M score'!$A:$G,7,0)),"")</f>
        <v/>
      </c>
      <c r="AL11" s="37" t="str">
        <f>IFERROR(IF(VLOOKUP(A11,'Metering Ratio Score'!$A:$C,3,0)="","",VLOOKUP(A11,'Metering Ratio Score'!$A:$C,3,0)),"")</f>
        <v/>
      </c>
      <c r="AM11" s="37" t="str">
        <f>IFERROR(IF(VLOOKUP(A11,'Metering Ratio Score'!$A:$D,4,0)="","",VLOOKUP(A11,'Metering Ratio Score'!$A:$D,4,0)),"")</f>
        <v/>
      </c>
      <c r="AN11" s="37" t="str">
        <f>IFERROR(IF(VLOOKUP(A11,'Metering Ratio Score'!$A:$E,5,0)="","",VLOOKUP(A11,'Metering Ratio Score'!$A:$E,5,0)),"")</f>
        <v/>
      </c>
      <c r="AO11" s="37" t="str">
        <f>IFERROR(IF(VLOOKUP(A11,'Metering Ratio Score'!$A:$F,6,0)="","",VLOOKUP(A11,'Metering Ratio Score'!$A:$F,6,0)),"")</f>
        <v/>
      </c>
      <c r="AP11" s="37" t="str">
        <f>IFERROR(IF(VLOOKUP(A11,'Grievance Addressal'!$A:$C,3,0)="","",VLOOKUP(A11,'Grievance Addressal'!$A:$C,3,0)),"")</f>
        <v/>
      </c>
      <c r="AQ11" s="37" t="str">
        <f>IFERROR(IF(VLOOKUP(A11,'Grievance Addressal'!$A:$D,4,0)="","",VLOOKUP(A11,'Grievance Addressal'!$A:$D,4,0)),"")</f>
        <v>yes</v>
      </c>
      <c r="AR11" s="37" t="str">
        <f>IFERROR(IF(VLOOKUP(A11,'Grievance Addressal'!$A:$E,5,0)="","",VLOOKUP(A11,'Grievance Addressal'!$A:$E,5,0)),"")</f>
        <v xml:space="preserve"> </v>
      </c>
      <c r="AS11" s="37" t="str">
        <f>IFERROR(IF(VLOOKUP(A11,Summary_Index!$A$5:$N$281,7,0)="","",VLOOKUP(A11,Summary_Index!$A$5:$N$281,7,0)),"")</f>
        <v/>
      </c>
      <c r="AT11" s="37" t="str">
        <f>IFERROR(IF(VLOOKUP(A11,Summary_Index!$A$5:$N$281,12,0)="","",VLOOKUP(A11,Summary_Index!$A$5:$N$281,12,0)),"")</f>
        <v/>
      </c>
      <c r="AU11" s="37" t="str">
        <f>IFERROR(IF(VLOOKUP(A11,Summary_Index!$A$5:$N$281,13,0)="","",VLOOKUP(A11,Summary_Index!$A$5:$N$281,13,0)),"")</f>
        <v/>
      </c>
      <c r="AV11" s="37" t="str">
        <f>IFERROR(IF(VLOOKUP(A11,Summary_Index!$A$5:$N$281,14,0)="","",VLOOKUP(A11,Summary_Index!$A$5:$N$281,14,0)),"")</f>
        <v/>
      </c>
    </row>
    <row r="12" spans="1:48" ht="45.6" customHeight="1" x14ac:dyDescent="0.3">
      <c r="A12" s="37">
        <f>Spatial!A12</f>
        <v>11</v>
      </c>
      <c r="B12" s="37" t="str">
        <f>Spatial!B12</f>
        <v>Beni_WSUC</v>
      </c>
      <c r="C12" s="37" t="str">
        <f>Spatial!C12</f>
        <v>Gandaki</v>
      </c>
      <c r="D12" s="37" t="str">
        <f>Spatial!D12</f>
        <v>Chitwan District</v>
      </c>
      <c r="E12" s="37" t="str">
        <f>Spatial!E12</f>
        <v>Municipality</v>
      </c>
      <c r="F12" s="37" t="str">
        <f>Spatial!F12</f>
        <v>Beni</v>
      </c>
      <c r="G12" s="37">
        <f>IFERROR(Spatial!G12,"")</f>
        <v>0</v>
      </c>
      <c r="H12" s="49">
        <v>28.35</v>
      </c>
      <c r="I12" s="37">
        <v>83.583299999999994</v>
      </c>
      <c r="J12" s="37" t="str">
        <f t="shared" si="0"/>
        <v>Beni_Chitwan District</v>
      </c>
      <c r="K12" s="37" t="str">
        <f>IFERROR(IF(VLOOKUP(A12,'Service Coverage'!$A:$C,3,0)="","",VLOOKUP(A12,'Service Coverage'!$A:$C,3,0)),"")</f>
        <v>No</v>
      </c>
      <c r="L12" s="37">
        <f>IFERROR(IF(VLOOKUP(A12,'Service Coverage'!$A:$D,4,0)="","",VLOOKUP(A12,'Service Coverage'!$A:$D,4,0)),"")</f>
        <v>1143</v>
      </c>
      <c r="M12" s="37" t="str">
        <f>IFERROR(IF(VLOOKUP(A12,'Service Coverage'!$A:$E,5,0)="","",VLOOKUP(A12,'Service Coverage'!$A:$E,5,0)),"")</f>
        <v/>
      </c>
      <c r="N12" s="37" t="str">
        <f>IFERROR(IF(VLOOKUP(A12,'Service Coverage'!$A:$F,6,0)="","",VLOOKUP(A12,'Service Coverage'!$A:$F,6,0)),"")</f>
        <v/>
      </c>
      <c r="O12" s="37" t="str">
        <f>IFERROR(IF(VLOOKUP(A12,'Service Coverage'!$A:$G,7,0)="","",VLOOKUP(A12,'Service Coverage'!$A:$G,7,0)),"")</f>
        <v/>
      </c>
      <c r="P12" s="37" t="str">
        <f>IFERROR(IF(VLOOKUP(A12,Adequacy!$A:$C,3,0)="","",VLOOKUP(A12,Adequacy!$A:$C,3,0)),"")</f>
        <v/>
      </c>
      <c r="Q12" s="37" t="str">
        <f>IFERROR(IF(VLOOKUP(A12,Adequacy!$A:$D,4,0)="","",VLOOKUP(A12,Adequacy!$A:$D,4,0)),"")</f>
        <v/>
      </c>
      <c r="R12" s="37" t="str">
        <f>IFERROR(IF(VLOOKUP(A12,Adequacy!$A:$E,5,0)="","",VLOOKUP(A12,Adequacy!$A:$E,5,0)),"")</f>
        <v/>
      </c>
      <c r="S12" s="37" t="str">
        <f>IFERROR(IF(VLOOKUP(A12,Adequacy!$A:$G,7,0)="","",VLOOKUP(A12,Adequacy!$A:$G,7,0)),"")</f>
        <v/>
      </c>
      <c r="T12" s="37" t="str">
        <f>IFERROR(IF(VLOOKUP(A12,Adequacy!$A:$H,8,0)="","",VLOOKUP(A12,Adequacy!$A:$H,8,0)),"")</f>
        <v xml:space="preserve"> </v>
      </c>
      <c r="U12" s="37" t="str">
        <f>IFERROR(IF(VLOOKUP(A12,Adequacy!$A:$J,10,0)="","",VLOOKUP(A12,Adequacy!$A:$J,10,0)),"")</f>
        <v/>
      </c>
      <c r="V12" s="37" t="str">
        <f>IFERROR(IF(VLOOKUP(A12,'Water Quality Score'!$A:$C,3,0)="","",VLOOKUP(A12,'Water Quality Score'!$A:$C,3,0)),"")</f>
        <v>yes</v>
      </c>
      <c r="W12" s="37" t="str">
        <f>IFERROR(IF(VLOOKUP(A12,'Water Quality Score'!$A:$D,4,0)="","",VLOOKUP(A12,'Water Quality Score'!$A:$D,4,0)),"")</f>
        <v/>
      </c>
      <c r="X12" s="37" t="str">
        <f>IFERROR(IF(VLOOKUP(A12,'Water Quality Score'!$A:$E,5,0)="","",VLOOKUP(A12,'Water Quality Score'!$A:$E,5,0)),"")</f>
        <v/>
      </c>
      <c r="Y12" s="37">
        <f>IFERROR(IF(VLOOKUP(A12,'Water Quality Score'!$A:$F,6,0)="","",VLOOKUP(A12,'Water Quality Score'!$A:$F,6,0)),"")</f>
        <v>0.2</v>
      </c>
      <c r="Z12" s="37" t="str">
        <f>IFERROR(IF(VLOOKUP(A12,'Reliability score'!$A:$C,3,0)="","",VLOOKUP(A12,'Reliability score'!$A:$C,3,0)),"")</f>
        <v/>
      </c>
      <c r="AA12" s="37" t="str">
        <f>IFERROR(IF(VLOOKUP(A12,'Reliability score'!$A:$D,4,0)="","",VLOOKUP(A12,'Reliability score'!$A:$D,4,0)),"")</f>
        <v xml:space="preserve"> </v>
      </c>
      <c r="AB12" s="37" t="str">
        <f>IFERROR(IF(VLOOKUP(A12,NRW!$A:$C,3,0)="","",VLOOKUP(A12,NRW!$A:$C,3,0)),"")</f>
        <v/>
      </c>
      <c r="AC12" s="37" t="str">
        <f>IFERROR(IF(VLOOKUP(A12,NRW!$A:$D,4,0)="","",VLOOKUP(A12,NRW!$A:$D,4,0)),"")</f>
        <v/>
      </c>
      <c r="AD12" s="37" t="str">
        <f>IFERROR(IF(VLOOKUP(A12,NRW!$A:$E,5,0)="","",VLOOKUP(A12,NRW!$A:$E,5,0)),"")</f>
        <v/>
      </c>
      <c r="AE12" s="37" t="str">
        <f>IFERROR(IF(VLOOKUP(A12,NRW!$A:$F,6,0)="","",VLOOKUP(A12,NRW!$A:$F,6,0)),"")</f>
        <v/>
      </c>
      <c r="AF12" s="37" t="str">
        <f>IFERROR(IF(VLOOKUP(A12,NRW!$A:$G,7,0)="","",VLOOKUP(A12,NRW!$A:$G,7,0)),"")</f>
        <v/>
      </c>
      <c r="AG12" s="37" t="str">
        <f>IFERROR(IF(OR(VLOOKUP(A12,NRW!$A:$H,8,0)="",VLOOKUP(A12,NRW!$A:$H,8,0)=0),"",VLOOKUP(A12,NRW!$A:$H,8,0)),"")</f>
        <v/>
      </c>
      <c r="AH12" s="37" t="str">
        <f>IFERROR(IF(VLOOKUP(A12,'O&amp;M score'!$A:$D,4,0)="","",VLOOKUP(A12,'O&amp;M score'!$A:$D,4,0)),"")</f>
        <v/>
      </c>
      <c r="AI12" s="37" t="str">
        <f>IFERROR(IF(VLOOKUP(A12,'O&amp;M score'!$A:$E,5,0)="","",VLOOKUP(A12,'O&amp;M score'!$A:$E,5,0)),"")</f>
        <v/>
      </c>
      <c r="AJ12" s="37" t="str">
        <f>IFERROR(IF(VLOOKUP(A12,'O&amp;M score'!$A:$F,6,0)="","",VLOOKUP(A12,'O&amp;M score'!$A:$F,6,0)),"")</f>
        <v/>
      </c>
      <c r="AK12" s="37" t="str">
        <f>IFERROR(IF(VLOOKUP(A12,'O&amp;M score'!$A:$G,7,0)="","",VLOOKUP(A12,'O&amp;M score'!$A:$G,7,0)),"")</f>
        <v/>
      </c>
      <c r="AL12" s="37">
        <f>IFERROR(IF(VLOOKUP(A12,'Metering Ratio Score'!$A:$C,3,0)="","",VLOOKUP(A12,'Metering Ratio Score'!$A:$C,3,0)),"")</f>
        <v>1216</v>
      </c>
      <c r="AM12" s="37" t="str">
        <f>IFERROR(IF(VLOOKUP(A12,'Metering Ratio Score'!$A:$D,4,0)="","",VLOOKUP(A12,'Metering Ratio Score'!$A:$D,4,0)),"")</f>
        <v/>
      </c>
      <c r="AN12" s="37" t="str">
        <f>IFERROR(IF(VLOOKUP(A12,'Metering Ratio Score'!$A:$E,5,0)="","",VLOOKUP(A12,'Metering Ratio Score'!$A:$E,5,0)),"")</f>
        <v/>
      </c>
      <c r="AO12" s="37" t="str">
        <f>IFERROR(IF(VLOOKUP(A12,'Metering Ratio Score'!$A:$F,6,0)="","",VLOOKUP(A12,'Metering Ratio Score'!$A:$F,6,0)),"")</f>
        <v/>
      </c>
      <c r="AP12" s="37" t="str">
        <f>IFERROR(IF(VLOOKUP(A12,'Grievance Addressal'!$A:$C,3,0)="","",VLOOKUP(A12,'Grievance Addressal'!$A:$C,3,0)),"")</f>
        <v/>
      </c>
      <c r="AQ12" s="37" t="str">
        <f>IFERROR(IF(VLOOKUP(A12,'Grievance Addressal'!$A:$D,4,0)="","",VLOOKUP(A12,'Grievance Addressal'!$A:$D,4,0)),"")</f>
        <v>yes</v>
      </c>
      <c r="AR12" s="37" t="str">
        <f>IFERROR(IF(VLOOKUP(A12,'Grievance Addressal'!$A:$E,5,0)="","",VLOOKUP(A12,'Grievance Addressal'!$A:$E,5,0)),"")</f>
        <v xml:space="preserve"> </v>
      </c>
      <c r="AS12" s="37" t="str">
        <f>IFERROR(IF(VLOOKUP(A12,Summary_Index!$A$5:$N$281,7,0)="","",VLOOKUP(A12,Summary_Index!$A$5:$N$281,7,0)),"")</f>
        <v/>
      </c>
      <c r="AT12" s="37" t="str">
        <f>IFERROR(IF(VLOOKUP(A12,Summary_Index!$A$5:$N$281,12,0)="","",VLOOKUP(A12,Summary_Index!$A$5:$N$281,12,0)),"")</f>
        <v/>
      </c>
      <c r="AU12" s="37" t="str">
        <f>IFERROR(IF(VLOOKUP(A12,Summary_Index!$A$5:$N$281,13,0)="","",VLOOKUP(A12,Summary_Index!$A$5:$N$281,13,0)),"")</f>
        <v/>
      </c>
      <c r="AV12" s="37" t="str">
        <f>IFERROR(IF(VLOOKUP(A12,Summary_Index!$A$5:$N$281,14,0)="","",VLOOKUP(A12,Summary_Index!$A$5:$N$281,14,0)),"")</f>
        <v/>
      </c>
    </row>
    <row r="13" spans="1:48" ht="45.6" customHeight="1" x14ac:dyDescent="0.3">
      <c r="A13" s="37">
        <f>Spatial!A13</f>
        <v>12</v>
      </c>
      <c r="B13" s="37" t="str">
        <f>Spatial!B13</f>
        <v>Narayansthan_WSUC</v>
      </c>
      <c r="C13" s="37" t="str">
        <f>Spatial!C13</f>
        <v>Gandaki</v>
      </c>
      <c r="D13" s="37" t="str">
        <f>Spatial!D13</f>
        <v>Chitwan District</v>
      </c>
      <c r="E13" s="37" t="str">
        <f>Spatial!E13</f>
        <v>Municipality</v>
      </c>
      <c r="F13" s="37" t="str">
        <f>Spatial!F13</f>
        <v>Baglung</v>
      </c>
      <c r="G13" s="37">
        <f>IFERROR(Spatial!G13,"")</f>
        <v>0</v>
      </c>
      <c r="H13" s="50">
        <v>28.2712</v>
      </c>
      <c r="I13" s="37">
        <v>83.587599999999995</v>
      </c>
      <c r="J13" s="37" t="str">
        <f t="shared" si="0"/>
        <v>Baglung_Chitwan District</v>
      </c>
      <c r="K13" s="37" t="str">
        <f>IFERROR(IF(VLOOKUP(A13,'Service Coverage'!$A:$C,3,0)="","",VLOOKUP(A13,'Service Coverage'!$A:$C,3,0)),"")</f>
        <v>No</v>
      </c>
      <c r="L13" s="37">
        <f>IFERROR(IF(VLOOKUP(A13,'Service Coverage'!$A:$D,4,0)="","",VLOOKUP(A13,'Service Coverage'!$A:$D,4,0)),"")</f>
        <v>907</v>
      </c>
      <c r="M13" s="37" t="str">
        <f>IFERROR(IF(VLOOKUP(A13,'Service Coverage'!$A:$E,5,0)="","",VLOOKUP(A13,'Service Coverage'!$A:$E,5,0)),"")</f>
        <v/>
      </c>
      <c r="N13" s="37" t="str">
        <f>IFERROR(IF(VLOOKUP(A13,'Service Coverage'!$A:$F,6,0)="","",VLOOKUP(A13,'Service Coverage'!$A:$F,6,0)),"")</f>
        <v/>
      </c>
      <c r="O13" s="37" t="str">
        <f>IFERROR(IF(VLOOKUP(A13,'Service Coverage'!$A:$G,7,0)="","",VLOOKUP(A13,'Service Coverage'!$A:$G,7,0)),"")</f>
        <v/>
      </c>
      <c r="P13" s="37" t="str">
        <f>IFERROR(IF(VLOOKUP(A13,Adequacy!$A:$C,3,0)="","",VLOOKUP(A13,Adequacy!$A:$C,3,0)),"")</f>
        <v/>
      </c>
      <c r="Q13" s="37" t="str">
        <f>IFERROR(IF(VLOOKUP(A13,Adequacy!$A:$D,4,0)="","",VLOOKUP(A13,Adequacy!$A:$D,4,0)),"")</f>
        <v/>
      </c>
      <c r="R13" s="37" t="str">
        <f>IFERROR(IF(VLOOKUP(A13,Adequacy!$A:$E,5,0)="","",VLOOKUP(A13,Adequacy!$A:$E,5,0)),"")</f>
        <v/>
      </c>
      <c r="S13" s="37" t="str">
        <f>IFERROR(IF(VLOOKUP(A13,Adequacy!$A:$G,7,0)="","",VLOOKUP(A13,Adequacy!$A:$G,7,0)),"")</f>
        <v/>
      </c>
      <c r="T13" s="37" t="str">
        <f>IFERROR(IF(VLOOKUP(A13,Adequacy!$A:$H,8,0)="","",VLOOKUP(A13,Adequacy!$A:$H,8,0)),"")</f>
        <v xml:space="preserve"> </v>
      </c>
      <c r="U13" s="37" t="str">
        <f>IFERROR(IF(VLOOKUP(A13,Adequacy!$A:$J,10,0)="","",VLOOKUP(A13,Adequacy!$A:$J,10,0)),"")</f>
        <v/>
      </c>
      <c r="V13" s="37" t="str">
        <f>IFERROR(IF(VLOOKUP(A13,'Water Quality Score'!$A:$C,3,0)="","",VLOOKUP(A13,'Water Quality Score'!$A:$C,3,0)),"")</f>
        <v>Yes</v>
      </c>
      <c r="W13" s="37" t="str">
        <f>IFERROR(IF(VLOOKUP(A13,'Water Quality Score'!$A:$D,4,0)="","",VLOOKUP(A13,'Water Quality Score'!$A:$D,4,0)),"")</f>
        <v/>
      </c>
      <c r="X13" s="37" t="str">
        <f>IFERROR(IF(VLOOKUP(A13,'Water Quality Score'!$A:$E,5,0)="","",VLOOKUP(A13,'Water Quality Score'!$A:$E,5,0)),"")</f>
        <v/>
      </c>
      <c r="Y13" s="37">
        <f>IFERROR(IF(VLOOKUP(A13,'Water Quality Score'!$A:$F,6,0)="","",VLOOKUP(A13,'Water Quality Score'!$A:$F,6,0)),"")</f>
        <v>0.2</v>
      </c>
      <c r="Z13" s="37" t="str">
        <f>IFERROR(IF(VLOOKUP(A13,'Reliability score'!$A:$C,3,0)="","",VLOOKUP(A13,'Reliability score'!$A:$C,3,0)),"")</f>
        <v/>
      </c>
      <c r="AA13" s="37" t="str">
        <f>IFERROR(IF(VLOOKUP(A13,'Reliability score'!$A:$D,4,0)="","",VLOOKUP(A13,'Reliability score'!$A:$D,4,0)),"")</f>
        <v xml:space="preserve"> </v>
      </c>
      <c r="AB13" s="37" t="str">
        <f>IFERROR(IF(VLOOKUP(A13,NRW!$A:$C,3,0)="","",VLOOKUP(A13,NRW!$A:$C,3,0)),"")</f>
        <v/>
      </c>
      <c r="AC13" s="37" t="str">
        <f>IFERROR(IF(VLOOKUP(A13,NRW!$A:$D,4,0)="","",VLOOKUP(A13,NRW!$A:$D,4,0)),"")</f>
        <v/>
      </c>
      <c r="AD13" s="37" t="str">
        <f>IFERROR(IF(VLOOKUP(A13,NRW!$A:$E,5,0)="","",VLOOKUP(A13,NRW!$A:$E,5,0)),"")</f>
        <v/>
      </c>
      <c r="AE13" s="37" t="str">
        <f>IFERROR(IF(VLOOKUP(A13,NRW!$A:$F,6,0)="","",VLOOKUP(A13,NRW!$A:$F,6,0)),"")</f>
        <v/>
      </c>
      <c r="AF13" s="37" t="str">
        <f>IFERROR(IF(VLOOKUP(A13,NRW!$A:$G,7,0)="","",VLOOKUP(A13,NRW!$A:$G,7,0)),"")</f>
        <v/>
      </c>
      <c r="AG13" s="37" t="str">
        <f>IFERROR(IF(OR(VLOOKUP(A13,NRW!$A:$H,8,0)="",VLOOKUP(A13,NRW!$A:$H,8,0)=0),"",VLOOKUP(A13,NRW!$A:$H,8,0)),"")</f>
        <v/>
      </c>
      <c r="AH13" s="37">
        <f>IFERROR(IF(VLOOKUP(A13,'O&amp;M score'!$A:$D,4,0)="","",VLOOKUP(A13,'O&amp;M score'!$A:$D,4,0)),"")</f>
        <v>2373000</v>
      </c>
      <c r="AI13" s="37">
        <f>IFERROR(IF(VLOOKUP(A13,'O&amp;M score'!$A:$E,5,0)="","",VLOOKUP(A13,'O&amp;M score'!$A:$E,5,0)),"")</f>
        <v>2468000</v>
      </c>
      <c r="AJ13" s="37">
        <f>IFERROR(IF(VLOOKUP(A13,'O&amp;M score'!$A:$F,6,0)="","",VLOOKUP(A13,'O&amp;M score'!$A:$F,6,0)),"")</f>
        <v>0.96150729335494323</v>
      </c>
      <c r="AK13" s="37">
        <f>IFERROR(IF(VLOOKUP(A13,'O&amp;M score'!$A:$G,7,0)="","",VLOOKUP(A13,'O&amp;M score'!$A:$G,7,0)),"")</f>
        <v>0.47698541329011346</v>
      </c>
      <c r="AL13" s="37">
        <f>IFERROR(IF(VLOOKUP(A13,'Metering Ratio Score'!$A:$C,3,0)="","",VLOOKUP(A13,'Metering Ratio Score'!$A:$C,3,0)),"")</f>
        <v>907</v>
      </c>
      <c r="AM13" s="37" t="str">
        <f>IFERROR(IF(VLOOKUP(A13,'Metering Ratio Score'!$A:$D,4,0)="","",VLOOKUP(A13,'Metering Ratio Score'!$A:$D,4,0)),"")</f>
        <v/>
      </c>
      <c r="AN13" s="37" t="str">
        <f>IFERROR(IF(VLOOKUP(A13,'Metering Ratio Score'!$A:$E,5,0)="","",VLOOKUP(A13,'Metering Ratio Score'!$A:$E,5,0)),"")</f>
        <v/>
      </c>
      <c r="AO13" s="37" t="str">
        <f>IFERROR(IF(VLOOKUP(A13,'Metering Ratio Score'!$A:$F,6,0)="","",VLOOKUP(A13,'Metering Ratio Score'!$A:$F,6,0)),"")</f>
        <v/>
      </c>
      <c r="AP13" s="37" t="str">
        <f>IFERROR(IF(VLOOKUP(A13,'Grievance Addressal'!$A:$C,3,0)="","",VLOOKUP(A13,'Grievance Addressal'!$A:$C,3,0)),"")</f>
        <v/>
      </c>
      <c r="AQ13" s="37" t="str">
        <f>IFERROR(IF(VLOOKUP(A13,'Grievance Addressal'!$A:$D,4,0)="","",VLOOKUP(A13,'Grievance Addressal'!$A:$D,4,0)),"")</f>
        <v>yes</v>
      </c>
      <c r="AR13" s="37" t="str">
        <f>IFERROR(IF(VLOOKUP(A13,'Grievance Addressal'!$A:$E,5,0)="","",VLOOKUP(A13,'Grievance Addressal'!$A:$E,5,0)),"")</f>
        <v xml:space="preserve"> </v>
      </c>
      <c r="AS13" s="37" t="str">
        <f>IFERROR(IF(VLOOKUP(A13,Summary_Index!$A$5:$N$281,7,0)="","",VLOOKUP(A13,Summary_Index!$A$5:$N$281,7,0)),"")</f>
        <v/>
      </c>
      <c r="AT13" s="37" t="str">
        <f>IFERROR(IF(VLOOKUP(A13,Summary_Index!$A$5:$N$281,12,0)="","",VLOOKUP(A13,Summary_Index!$A$5:$N$281,12,0)),"")</f>
        <v/>
      </c>
      <c r="AU13" s="37" t="str">
        <f>IFERROR(IF(VLOOKUP(A13,Summary_Index!$A$5:$N$281,13,0)="","",VLOOKUP(A13,Summary_Index!$A$5:$N$281,13,0)),"")</f>
        <v/>
      </c>
      <c r="AV13" s="37" t="str">
        <f>IFERROR(IF(VLOOKUP(A13,Summary_Index!$A$5:$N$281,14,0)="","",VLOOKUP(A13,Summary_Index!$A$5:$N$281,14,0)),"")</f>
        <v/>
      </c>
    </row>
    <row r="14" spans="1:48" ht="45.6" customHeight="1" x14ac:dyDescent="0.3">
      <c r="A14" s="37">
        <f>Spatial!A14</f>
        <v>13</v>
      </c>
      <c r="B14" s="37" t="str">
        <f>Spatial!B14</f>
        <v>Diktel_WSUC</v>
      </c>
      <c r="C14" s="37">
        <f>Spatial!C14</f>
        <v>0</v>
      </c>
      <c r="D14" s="37" t="str">
        <f>Spatial!D14</f>
        <v>Chitwan District</v>
      </c>
      <c r="E14" s="37" t="str">
        <f>Spatial!E14</f>
        <v>Municipality</v>
      </c>
      <c r="F14" s="37" t="str">
        <f>Spatial!F14</f>
        <v>Diktel</v>
      </c>
      <c r="G14" s="37">
        <f>IFERROR(Spatial!G14,"")</f>
        <v>0</v>
      </c>
      <c r="H14" s="49">
        <v>27.216699999999999</v>
      </c>
      <c r="I14" s="37">
        <v>86.783299999999997</v>
      </c>
      <c r="J14" s="37" t="str">
        <f t="shared" si="0"/>
        <v>Diktel_Chitwan District</v>
      </c>
      <c r="K14" s="37" t="str">
        <f>IFERROR(IF(VLOOKUP(A14,'Service Coverage'!$A:$C,3,0)="","",VLOOKUP(A14,'Service Coverage'!$A:$C,3,0)),"")</f>
        <v>No</v>
      </c>
      <c r="L14" s="37">
        <f>IFERROR(IF(VLOOKUP(A14,'Service Coverage'!$A:$D,4,0)="","",VLOOKUP(A14,'Service Coverage'!$A:$D,4,0)),"")</f>
        <v>1120</v>
      </c>
      <c r="M14" s="37" t="str">
        <f>IFERROR(IF(VLOOKUP(A14,'Service Coverage'!$A:$E,5,0)="","",VLOOKUP(A14,'Service Coverage'!$A:$E,5,0)),"")</f>
        <v/>
      </c>
      <c r="N14" s="37" t="str">
        <f>IFERROR(IF(VLOOKUP(A14,'Service Coverage'!$A:$F,6,0)="","",VLOOKUP(A14,'Service Coverage'!$A:$F,6,0)),"")</f>
        <v/>
      </c>
      <c r="O14" s="37" t="str">
        <f>IFERROR(IF(VLOOKUP(A14,'Service Coverage'!$A:$G,7,0)="","",VLOOKUP(A14,'Service Coverage'!$A:$G,7,0)),"")</f>
        <v/>
      </c>
      <c r="P14" s="37" t="str">
        <f>IFERROR(IF(VLOOKUP(A14,Adequacy!$A:$C,3,0)="","",VLOOKUP(A14,Adequacy!$A:$C,3,0)),"")</f>
        <v/>
      </c>
      <c r="Q14" s="37" t="str">
        <f>IFERROR(IF(VLOOKUP(A14,Adequacy!$A:$D,4,0)="","",VLOOKUP(A14,Adequacy!$A:$D,4,0)),"")</f>
        <v/>
      </c>
      <c r="R14" s="37" t="str">
        <f>IFERROR(IF(VLOOKUP(A14,Adequacy!$A:$E,5,0)="","",VLOOKUP(A14,Adequacy!$A:$E,5,0)),"")</f>
        <v/>
      </c>
      <c r="S14" s="37" t="str">
        <f>IFERROR(IF(VLOOKUP(A14,Adequacy!$A:$G,7,0)="","",VLOOKUP(A14,Adequacy!$A:$G,7,0)),"")</f>
        <v/>
      </c>
      <c r="T14" s="37" t="str">
        <f>IFERROR(IF(VLOOKUP(A14,Adequacy!$A:$H,8,0)="","",VLOOKUP(A14,Adequacy!$A:$H,8,0)),"")</f>
        <v xml:space="preserve"> </v>
      </c>
      <c r="U14" s="37" t="str">
        <f>IFERROR(IF(VLOOKUP(A14,Adequacy!$A:$J,10,0)="","",VLOOKUP(A14,Adequacy!$A:$J,10,0)),"")</f>
        <v/>
      </c>
      <c r="V14" s="37" t="str">
        <f>IFERROR(IF(VLOOKUP(A14,'Water Quality Score'!$A:$C,3,0)="","",VLOOKUP(A14,'Water Quality Score'!$A:$C,3,0)),"")</f>
        <v>yes</v>
      </c>
      <c r="W14" s="37" t="str">
        <f>IFERROR(IF(VLOOKUP(A14,'Water Quality Score'!$A:$D,4,0)="","",VLOOKUP(A14,'Water Quality Score'!$A:$D,4,0)),"")</f>
        <v/>
      </c>
      <c r="X14" s="37" t="str">
        <f>IFERROR(IF(VLOOKUP(A14,'Water Quality Score'!$A:$E,5,0)="","",VLOOKUP(A14,'Water Quality Score'!$A:$E,5,0)),"")</f>
        <v/>
      </c>
      <c r="Y14" s="37">
        <f>IFERROR(IF(VLOOKUP(A14,'Water Quality Score'!$A:$F,6,0)="","",VLOOKUP(A14,'Water Quality Score'!$A:$F,6,0)),"")</f>
        <v>0.2</v>
      </c>
      <c r="Z14" s="37" t="str">
        <f>IFERROR(IF(VLOOKUP(A14,'Reliability score'!$A:$C,3,0)="","",VLOOKUP(A14,'Reliability score'!$A:$C,3,0)),"")</f>
        <v/>
      </c>
      <c r="AA14" s="37" t="str">
        <f>IFERROR(IF(VLOOKUP(A14,'Reliability score'!$A:$D,4,0)="","",VLOOKUP(A14,'Reliability score'!$A:$D,4,0)),"")</f>
        <v xml:space="preserve"> </v>
      </c>
      <c r="AB14" s="37" t="str">
        <f>IFERROR(IF(VLOOKUP(A14,NRW!$A:$C,3,0)="","",VLOOKUP(A14,NRW!$A:$C,3,0)),"")</f>
        <v/>
      </c>
      <c r="AC14" s="37" t="str">
        <f>IFERROR(IF(VLOOKUP(A14,NRW!$A:$D,4,0)="","",VLOOKUP(A14,NRW!$A:$D,4,0)),"")</f>
        <v/>
      </c>
      <c r="AD14" s="37" t="str">
        <f>IFERROR(IF(VLOOKUP(A14,NRW!$A:$E,5,0)="","",VLOOKUP(A14,NRW!$A:$E,5,0)),"")</f>
        <v/>
      </c>
      <c r="AE14" s="37" t="str">
        <f>IFERROR(IF(VLOOKUP(A14,NRW!$A:$F,6,0)="","",VLOOKUP(A14,NRW!$A:$F,6,0)),"")</f>
        <v/>
      </c>
      <c r="AF14" s="37" t="str">
        <f>IFERROR(IF(VLOOKUP(A14,NRW!$A:$G,7,0)="","",VLOOKUP(A14,NRW!$A:$G,7,0)),"")</f>
        <v/>
      </c>
      <c r="AG14" s="37" t="str">
        <f>IFERROR(IF(OR(VLOOKUP(A14,NRW!$A:$H,8,0)="",VLOOKUP(A14,NRW!$A:$H,8,0)=0),"",VLOOKUP(A14,NRW!$A:$H,8,0)),"")</f>
        <v/>
      </c>
      <c r="AH14" s="37">
        <f>IFERROR(IF(VLOOKUP(A14,'O&amp;M score'!$A:$D,4,0)="","",VLOOKUP(A14,'O&amp;M score'!$A:$D,4,0)),"")</f>
        <v>10202.08892</v>
      </c>
      <c r="AI14" s="37">
        <f>IFERROR(IF(VLOOKUP(A14,'O&amp;M score'!$A:$E,5,0)="","",VLOOKUP(A14,'O&amp;M score'!$A:$E,5,0)),"")</f>
        <v>7363.5579299999999</v>
      </c>
      <c r="AJ14" s="37">
        <f>IFERROR(IF(VLOOKUP(A14,'O&amp;M score'!$A:$F,6,0)="","",VLOOKUP(A14,'O&amp;M score'!$A:$F,6,0)),"")</f>
        <v>1.385483623132167</v>
      </c>
      <c r="AK14" s="37">
        <f>IFERROR(IF(VLOOKUP(A14,'O&amp;M score'!$A:$G,7,0)="","",VLOOKUP(A14,'O&amp;M score'!$A:$G,7,0)),"")</f>
        <v>0</v>
      </c>
      <c r="AL14" s="37">
        <f>IFERROR(IF(VLOOKUP(A14,'Metering Ratio Score'!$A:$C,3,0)="","",VLOOKUP(A14,'Metering Ratio Score'!$A:$C,3,0)),"")</f>
        <v>1100</v>
      </c>
      <c r="AM14" s="37" t="str">
        <f>IFERROR(IF(VLOOKUP(A14,'Metering Ratio Score'!$A:$D,4,0)="","",VLOOKUP(A14,'Metering Ratio Score'!$A:$D,4,0)),"")</f>
        <v/>
      </c>
      <c r="AN14" s="37" t="str">
        <f>IFERROR(IF(VLOOKUP(A14,'Metering Ratio Score'!$A:$E,5,0)="","",VLOOKUP(A14,'Metering Ratio Score'!$A:$E,5,0)),"")</f>
        <v/>
      </c>
      <c r="AO14" s="37" t="str">
        <f>IFERROR(IF(VLOOKUP(A14,'Metering Ratio Score'!$A:$F,6,0)="","",VLOOKUP(A14,'Metering Ratio Score'!$A:$F,6,0)),"")</f>
        <v/>
      </c>
      <c r="AP14" s="37" t="str">
        <f>IFERROR(IF(VLOOKUP(A14,'Grievance Addressal'!$A:$C,3,0)="","",VLOOKUP(A14,'Grievance Addressal'!$A:$C,3,0)),"")</f>
        <v/>
      </c>
      <c r="AQ14" s="37" t="str">
        <f>IFERROR(IF(VLOOKUP(A14,'Grievance Addressal'!$A:$D,4,0)="","",VLOOKUP(A14,'Grievance Addressal'!$A:$D,4,0)),"")</f>
        <v>yes</v>
      </c>
      <c r="AR14" s="37" t="str">
        <f>IFERROR(IF(VLOOKUP(A14,'Grievance Addressal'!$A:$E,5,0)="","",VLOOKUP(A14,'Grievance Addressal'!$A:$E,5,0)),"")</f>
        <v xml:space="preserve"> </v>
      </c>
      <c r="AS14" s="37" t="str">
        <f>IFERROR(IF(VLOOKUP(A14,Summary_Index!$A$5:$N$281,7,0)="","",VLOOKUP(A14,Summary_Index!$A$5:$N$281,7,0)),"")</f>
        <v/>
      </c>
      <c r="AT14" s="37" t="str">
        <f>IFERROR(IF(VLOOKUP(A14,Summary_Index!$A$5:$N$281,12,0)="","",VLOOKUP(A14,Summary_Index!$A$5:$N$281,12,0)),"")</f>
        <v/>
      </c>
      <c r="AU14" s="37" t="str">
        <f>IFERROR(IF(VLOOKUP(A14,Summary_Index!$A$5:$N$281,13,0)="","",VLOOKUP(A14,Summary_Index!$A$5:$N$281,13,0)),"")</f>
        <v/>
      </c>
      <c r="AV14" s="37" t="str">
        <f>IFERROR(IF(VLOOKUP(A14,Summary_Index!$A$5:$N$281,14,0)="","",VLOOKUP(A14,Summary_Index!$A$5:$N$281,14,0)),"")</f>
        <v/>
      </c>
    </row>
    <row r="15" spans="1:48" ht="45.6" customHeight="1" x14ac:dyDescent="0.3">
      <c r="A15" s="37">
        <f>Spatial!A15</f>
        <v>14</v>
      </c>
      <c r="B15" s="37" t="str">
        <f>Spatial!B15</f>
        <v>Parsa_WSUC</v>
      </c>
      <c r="C15" s="37" t="str">
        <f>Spatial!C15</f>
        <v>Bagmati</v>
      </c>
      <c r="D15" s="37" t="str">
        <f>Spatial!D15</f>
        <v>Chitwan District</v>
      </c>
      <c r="E15" s="37" t="str">
        <f>Spatial!E15</f>
        <v>Municipality</v>
      </c>
      <c r="F15" s="37" t="str">
        <f>Spatial!F15</f>
        <v>Khairahani</v>
      </c>
      <c r="G15" s="37">
        <f>IFERROR(Spatial!G15,"")</f>
        <v>0</v>
      </c>
      <c r="H15" s="50">
        <v>27.671399999999998</v>
      </c>
      <c r="I15" s="37">
        <v>84.4328</v>
      </c>
      <c r="J15" s="37" t="str">
        <f t="shared" si="0"/>
        <v>Khairahani_Chitwan District</v>
      </c>
      <c r="K15" s="37" t="str">
        <f>IFERROR(IF(VLOOKUP(A15,'Service Coverage'!$A:$C,3,0)="","",VLOOKUP(A15,'Service Coverage'!$A:$C,3,0)),"")</f>
        <v>No</v>
      </c>
      <c r="L15" s="37">
        <f>IFERROR(IF(VLOOKUP(A15,'Service Coverage'!$A:$D,4,0)="","",VLOOKUP(A15,'Service Coverage'!$A:$D,4,0)),"")</f>
        <v>6500</v>
      </c>
      <c r="M15" s="37" t="str">
        <f>IFERROR(IF(VLOOKUP(A15,'Service Coverage'!$A:$E,5,0)="","",VLOOKUP(A15,'Service Coverage'!$A:$E,5,0)),"")</f>
        <v/>
      </c>
      <c r="N15" s="37" t="str">
        <f>IFERROR(IF(VLOOKUP(A15,'Service Coverage'!$A:$F,6,0)="","",VLOOKUP(A15,'Service Coverage'!$A:$F,6,0)),"")</f>
        <v/>
      </c>
      <c r="O15" s="37" t="str">
        <f>IFERROR(IF(VLOOKUP(A15,'Service Coverage'!$A:$G,7,0)="","",VLOOKUP(A15,'Service Coverage'!$A:$G,7,0)),"")</f>
        <v/>
      </c>
      <c r="P15" s="37" t="str">
        <f>IFERROR(IF(VLOOKUP(A15,Adequacy!$A:$C,3,0)="","",VLOOKUP(A15,Adequacy!$A:$C,3,0)),"")</f>
        <v/>
      </c>
      <c r="Q15" s="37" t="str">
        <f>IFERROR(IF(VLOOKUP(A15,Adequacy!$A:$D,4,0)="","",VLOOKUP(A15,Adequacy!$A:$D,4,0)),"")</f>
        <v/>
      </c>
      <c r="R15" s="37" t="str">
        <f>IFERROR(IF(VLOOKUP(A15,Adequacy!$A:$E,5,0)="","",VLOOKUP(A15,Adequacy!$A:$E,5,0)),"")</f>
        <v/>
      </c>
      <c r="S15" s="37" t="str">
        <f>IFERROR(IF(VLOOKUP(A15,Adequacy!$A:$G,7,0)="","",VLOOKUP(A15,Adequacy!$A:$G,7,0)),"")</f>
        <v/>
      </c>
      <c r="T15" s="37" t="str">
        <f>IFERROR(IF(VLOOKUP(A15,Adequacy!$A:$H,8,0)="","",VLOOKUP(A15,Adequacy!$A:$H,8,0)),"")</f>
        <v xml:space="preserve"> </v>
      </c>
      <c r="U15" s="37" t="str">
        <f>IFERROR(IF(VLOOKUP(A15,Adequacy!$A:$J,10,0)="","",VLOOKUP(A15,Adequacy!$A:$J,10,0)),"")</f>
        <v/>
      </c>
      <c r="V15" s="37" t="str">
        <f>IFERROR(IF(VLOOKUP(A15,'Water Quality Score'!$A:$C,3,0)="","",VLOOKUP(A15,'Water Quality Score'!$A:$C,3,0)),"")</f>
        <v>yes</v>
      </c>
      <c r="W15" s="37" t="str">
        <f>IFERROR(IF(VLOOKUP(A15,'Water Quality Score'!$A:$D,4,0)="","",VLOOKUP(A15,'Water Quality Score'!$A:$D,4,0)),"")</f>
        <v/>
      </c>
      <c r="X15" s="37" t="str">
        <f>IFERROR(IF(VLOOKUP(A15,'Water Quality Score'!$A:$E,5,0)="","",VLOOKUP(A15,'Water Quality Score'!$A:$E,5,0)),"")</f>
        <v/>
      </c>
      <c r="Y15" s="37">
        <f>IFERROR(IF(VLOOKUP(A15,'Water Quality Score'!$A:$F,6,0)="","",VLOOKUP(A15,'Water Quality Score'!$A:$F,6,0)),"")</f>
        <v>0.2</v>
      </c>
      <c r="Z15" s="37">
        <f>IFERROR(IF(VLOOKUP(A15,'Reliability score'!$A:$C,3,0)="","",VLOOKUP(A15,'Reliability score'!$A:$C,3,0)),"")</f>
        <v>24</v>
      </c>
      <c r="AA15" s="37">
        <f>IFERROR(IF(VLOOKUP(A15,'Reliability score'!$A:$D,4,0)="","",VLOOKUP(A15,'Reliability score'!$A:$D,4,0)),"")</f>
        <v>1</v>
      </c>
      <c r="AB15" s="37" t="str">
        <f>IFERROR(IF(VLOOKUP(A15,NRW!$A:$C,3,0)="","",VLOOKUP(A15,NRW!$A:$C,3,0)),"")</f>
        <v/>
      </c>
      <c r="AC15" s="37" t="str">
        <f>IFERROR(IF(VLOOKUP(A15,NRW!$A:$D,4,0)="","",VLOOKUP(A15,NRW!$A:$D,4,0)),"")</f>
        <v/>
      </c>
      <c r="AD15" s="37" t="str">
        <f>IFERROR(IF(VLOOKUP(A15,NRW!$A:$E,5,0)="","",VLOOKUP(A15,NRW!$A:$E,5,0)),"")</f>
        <v/>
      </c>
      <c r="AE15" s="37" t="str">
        <f>IFERROR(IF(VLOOKUP(A15,NRW!$A:$F,6,0)="","",VLOOKUP(A15,NRW!$A:$F,6,0)),"")</f>
        <v/>
      </c>
      <c r="AF15" s="37" t="str">
        <f>IFERROR(IF(VLOOKUP(A15,NRW!$A:$G,7,0)="","",VLOOKUP(A15,NRW!$A:$G,7,0)),"")</f>
        <v/>
      </c>
      <c r="AG15" s="37" t="str">
        <f>IFERROR(IF(OR(VLOOKUP(A15,NRW!$A:$H,8,0)="",VLOOKUP(A15,NRW!$A:$H,8,0)=0),"",VLOOKUP(A15,NRW!$A:$H,8,0)),"")</f>
        <v/>
      </c>
      <c r="AH15" s="37" t="str">
        <f>IFERROR(IF(VLOOKUP(A15,'O&amp;M score'!$A:$D,4,0)="","",VLOOKUP(A15,'O&amp;M score'!$A:$D,4,0)),"")</f>
        <v/>
      </c>
      <c r="AI15" s="37">
        <f>IFERROR(IF(VLOOKUP(A15,'O&amp;M score'!$A:$E,5,0)="","",VLOOKUP(A15,'O&amp;M score'!$A:$E,5,0)),"")</f>
        <v>24000000</v>
      </c>
      <c r="AJ15" s="37" t="str">
        <f>IFERROR(IF(VLOOKUP(A15,'O&amp;M score'!$A:$F,6,0)="","",VLOOKUP(A15,'O&amp;M score'!$A:$F,6,0)),"")</f>
        <v/>
      </c>
      <c r="AK15" s="37" t="str">
        <f>IFERROR(IF(VLOOKUP(A15,'O&amp;M score'!$A:$G,7,0)="","",VLOOKUP(A15,'O&amp;M score'!$A:$G,7,0)),"")</f>
        <v/>
      </c>
      <c r="AL15" s="37">
        <f>IFERROR(IF(VLOOKUP(A15,'Metering Ratio Score'!$A:$C,3,0)="","",VLOOKUP(A15,'Metering Ratio Score'!$A:$C,3,0)),"")</f>
        <v>5800</v>
      </c>
      <c r="AM15" s="37" t="str">
        <f>IFERROR(IF(VLOOKUP(A15,'Metering Ratio Score'!$A:$D,4,0)="","",VLOOKUP(A15,'Metering Ratio Score'!$A:$D,4,0)),"")</f>
        <v/>
      </c>
      <c r="AN15" s="37" t="str">
        <f>IFERROR(IF(VLOOKUP(A15,'Metering Ratio Score'!$A:$E,5,0)="","",VLOOKUP(A15,'Metering Ratio Score'!$A:$E,5,0)),"")</f>
        <v/>
      </c>
      <c r="AO15" s="37" t="str">
        <f>IFERROR(IF(VLOOKUP(A15,'Metering Ratio Score'!$A:$F,6,0)="","",VLOOKUP(A15,'Metering Ratio Score'!$A:$F,6,0)),"")</f>
        <v/>
      </c>
      <c r="AP15" s="37" t="str">
        <f>IFERROR(IF(VLOOKUP(A15,'Grievance Addressal'!$A:$C,3,0)="","",VLOOKUP(A15,'Grievance Addressal'!$A:$C,3,0)),"")</f>
        <v/>
      </c>
      <c r="AQ15" s="37" t="str">
        <f>IFERROR(IF(VLOOKUP(A15,'Grievance Addressal'!$A:$D,4,0)="","",VLOOKUP(A15,'Grievance Addressal'!$A:$D,4,0)),"")</f>
        <v>yes</v>
      </c>
      <c r="AR15" s="37" t="str">
        <f>IFERROR(IF(VLOOKUP(A15,'Grievance Addressal'!$A:$E,5,0)="","",VLOOKUP(A15,'Grievance Addressal'!$A:$E,5,0)),"")</f>
        <v xml:space="preserve"> </v>
      </c>
      <c r="AS15" s="37" t="str">
        <f>IFERROR(IF(VLOOKUP(A15,Summary_Index!$A$5:$N$281,7,0)="","",VLOOKUP(A15,Summary_Index!$A$5:$N$281,7,0)),"")</f>
        <v/>
      </c>
      <c r="AT15" s="37" t="str">
        <f>IFERROR(IF(VLOOKUP(A15,Summary_Index!$A$5:$N$281,12,0)="","",VLOOKUP(A15,Summary_Index!$A$5:$N$281,12,0)),"")</f>
        <v/>
      </c>
      <c r="AU15" s="37" t="str">
        <f>IFERROR(IF(VLOOKUP(A15,Summary_Index!$A$5:$N$281,13,0)="","",VLOOKUP(A15,Summary_Index!$A$5:$N$281,13,0)),"")</f>
        <v/>
      </c>
      <c r="AV15" s="37" t="str">
        <f>IFERROR(IF(VLOOKUP(A15,Summary_Index!$A$5:$N$281,14,0)="","",VLOOKUP(A15,Summary_Index!$A$5:$N$281,14,0)),"")</f>
        <v/>
      </c>
    </row>
    <row r="16" spans="1:48" ht="45.6" customHeight="1" x14ac:dyDescent="0.3">
      <c r="A16" s="37">
        <f>Spatial!A16</f>
        <v>15</v>
      </c>
      <c r="B16" s="37" t="str">
        <f>Spatial!B16</f>
        <v>Saradanagar_WSUC</v>
      </c>
      <c r="C16" s="37" t="str">
        <f>Spatial!C16</f>
        <v>Bagmati</v>
      </c>
      <c r="D16" s="37" t="str">
        <f>Spatial!D16</f>
        <v>Chitwan District</v>
      </c>
      <c r="E16" s="37" t="str">
        <f>Spatial!E16</f>
        <v>Metropolitan</v>
      </c>
      <c r="F16" s="37" t="str">
        <f>Spatial!F16</f>
        <v>Bharatpur</v>
      </c>
      <c r="G16" s="37">
        <f>IFERROR(Spatial!G16,"")</f>
        <v>0</v>
      </c>
      <c r="H16" s="49">
        <v>27.683299999999999</v>
      </c>
      <c r="I16" s="37">
        <v>84.45</v>
      </c>
      <c r="J16" s="37" t="str">
        <f t="shared" si="0"/>
        <v>Bharatpur_Chitwan District</v>
      </c>
      <c r="K16" s="37" t="str">
        <f>IFERROR(IF(VLOOKUP(A16,'Service Coverage'!$A:$C,3,0)="","",VLOOKUP(A16,'Service Coverage'!$A:$C,3,0)),"")</f>
        <v>No</v>
      </c>
      <c r="L16" s="37">
        <f>IFERROR(IF(VLOOKUP(A16,'Service Coverage'!$A:$D,4,0)="","",VLOOKUP(A16,'Service Coverage'!$A:$D,4,0)),"")</f>
        <v>3454</v>
      </c>
      <c r="M16" s="37" t="str">
        <f>IFERROR(IF(VLOOKUP(A16,'Service Coverage'!$A:$E,5,0)="","",VLOOKUP(A16,'Service Coverage'!$A:$E,5,0)),"")</f>
        <v/>
      </c>
      <c r="N16" s="37" t="str">
        <f>IFERROR(IF(VLOOKUP(A16,'Service Coverage'!$A:$F,6,0)="","",VLOOKUP(A16,'Service Coverage'!$A:$F,6,0)),"")</f>
        <v/>
      </c>
      <c r="O16" s="37" t="str">
        <f>IFERROR(IF(VLOOKUP(A16,'Service Coverage'!$A:$G,7,0)="","",VLOOKUP(A16,'Service Coverage'!$A:$G,7,0)),"")</f>
        <v/>
      </c>
      <c r="P16" s="37" t="str">
        <f>IFERROR(IF(VLOOKUP(A16,Adequacy!$A:$C,3,0)="","",VLOOKUP(A16,Adequacy!$A:$C,3,0)),"")</f>
        <v/>
      </c>
      <c r="Q16" s="37" t="str">
        <f>IFERROR(IF(VLOOKUP(A16,Adequacy!$A:$D,4,0)="","",VLOOKUP(A16,Adequacy!$A:$D,4,0)),"")</f>
        <v/>
      </c>
      <c r="R16" s="37" t="str">
        <f>IFERROR(IF(VLOOKUP(A16,Adequacy!$A:$E,5,0)="","",VLOOKUP(A16,Adequacy!$A:$E,5,0)),"")</f>
        <v/>
      </c>
      <c r="S16" s="37" t="str">
        <f>IFERROR(IF(VLOOKUP(A16,Adequacy!$A:$G,7,0)="","",VLOOKUP(A16,Adequacy!$A:$G,7,0)),"")</f>
        <v/>
      </c>
      <c r="T16" s="37" t="str">
        <f>IFERROR(IF(VLOOKUP(A16,Adequacy!$A:$H,8,0)="","",VLOOKUP(A16,Adequacy!$A:$H,8,0)),"")</f>
        <v xml:space="preserve"> </v>
      </c>
      <c r="U16" s="37" t="str">
        <f>IFERROR(IF(VLOOKUP(A16,Adequacy!$A:$J,10,0)="","",VLOOKUP(A16,Adequacy!$A:$J,10,0)),"")</f>
        <v/>
      </c>
      <c r="V16" s="37" t="str">
        <f>IFERROR(IF(VLOOKUP(A16,'Water Quality Score'!$A:$C,3,0)="","",VLOOKUP(A16,'Water Quality Score'!$A:$C,3,0)),"")</f>
        <v>yes</v>
      </c>
      <c r="W16" s="37" t="str">
        <f>IFERROR(IF(VLOOKUP(A16,'Water Quality Score'!$A:$D,4,0)="","",VLOOKUP(A16,'Water Quality Score'!$A:$D,4,0)),"")</f>
        <v/>
      </c>
      <c r="X16" s="37" t="str">
        <f>IFERROR(IF(VLOOKUP(A16,'Water Quality Score'!$A:$E,5,0)="","",VLOOKUP(A16,'Water Quality Score'!$A:$E,5,0)),"")</f>
        <v/>
      </c>
      <c r="Y16" s="37">
        <f>IFERROR(IF(VLOOKUP(A16,'Water Quality Score'!$A:$F,6,0)="","",VLOOKUP(A16,'Water Quality Score'!$A:$F,6,0)),"")</f>
        <v>0.2</v>
      </c>
      <c r="Z16" s="37">
        <f>IFERROR(IF(VLOOKUP(A16,'Reliability score'!$A:$C,3,0)="","",VLOOKUP(A16,'Reliability score'!$A:$C,3,0)),"")</f>
        <v>24</v>
      </c>
      <c r="AA16" s="37">
        <f>IFERROR(IF(VLOOKUP(A16,'Reliability score'!$A:$D,4,0)="","",VLOOKUP(A16,'Reliability score'!$A:$D,4,0)),"")</f>
        <v>1</v>
      </c>
      <c r="AB16" s="37" t="str">
        <f>IFERROR(IF(VLOOKUP(A16,NRW!$A:$C,3,0)="","",VLOOKUP(A16,NRW!$A:$C,3,0)),"")</f>
        <v/>
      </c>
      <c r="AC16" s="37" t="str">
        <f>IFERROR(IF(VLOOKUP(A16,NRW!$A:$D,4,0)="","",VLOOKUP(A16,NRW!$A:$D,4,0)),"")</f>
        <v/>
      </c>
      <c r="AD16" s="37" t="str">
        <f>IFERROR(IF(VLOOKUP(A16,NRW!$A:$E,5,0)="","",VLOOKUP(A16,NRW!$A:$E,5,0)),"")</f>
        <v/>
      </c>
      <c r="AE16" s="37" t="str">
        <f>IFERROR(IF(VLOOKUP(A16,NRW!$A:$F,6,0)="","",VLOOKUP(A16,NRW!$A:$F,6,0)),"")</f>
        <v/>
      </c>
      <c r="AF16" s="37" t="str">
        <f>IFERROR(IF(VLOOKUP(A16,NRW!$A:$G,7,0)="","",VLOOKUP(A16,NRW!$A:$G,7,0)),"")</f>
        <v/>
      </c>
      <c r="AG16" s="37" t="str">
        <f>IFERROR(IF(OR(VLOOKUP(A16,NRW!$A:$H,8,0)="",VLOOKUP(A16,NRW!$A:$H,8,0)=0),"",VLOOKUP(A16,NRW!$A:$H,8,0)),"")</f>
        <v/>
      </c>
      <c r="AH16" s="37">
        <f>IFERROR(IF(VLOOKUP(A16,'O&amp;M score'!$A:$D,4,0)="","",VLOOKUP(A16,'O&amp;M score'!$A:$D,4,0)),"")</f>
        <v>6000000</v>
      </c>
      <c r="AI16" s="37">
        <f>IFERROR(IF(VLOOKUP(A16,'O&amp;M score'!$A:$E,5,0)="","",VLOOKUP(A16,'O&amp;M score'!$A:$E,5,0)),"")</f>
        <v>9600000</v>
      </c>
      <c r="AJ16" s="37">
        <f>IFERROR(IF(VLOOKUP(A16,'O&amp;M score'!$A:$F,6,0)="","",VLOOKUP(A16,'O&amp;M score'!$A:$F,6,0)),"")</f>
        <v>0.625</v>
      </c>
      <c r="AK16" s="37">
        <f>IFERROR(IF(VLOOKUP(A16,'O&amp;M score'!$A:$G,7,0)="","",VLOOKUP(A16,'O&amp;M score'!$A:$G,7,0)),"")</f>
        <v>1</v>
      </c>
      <c r="AL16" s="37">
        <f>IFERROR(IF(VLOOKUP(A16,'Metering Ratio Score'!$A:$C,3,0)="","",VLOOKUP(A16,'Metering Ratio Score'!$A:$C,3,0)),"")</f>
        <v>3454</v>
      </c>
      <c r="AM16" s="37" t="str">
        <f>IFERROR(IF(VLOOKUP(A16,'Metering Ratio Score'!$A:$D,4,0)="","",VLOOKUP(A16,'Metering Ratio Score'!$A:$D,4,0)),"")</f>
        <v/>
      </c>
      <c r="AN16" s="37" t="str">
        <f>IFERROR(IF(VLOOKUP(A16,'Metering Ratio Score'!$A:$E,5,0)="","",VLOOKUP(A16,'Metering Ratio Score'!$A:$E,5,0)),"")</f>
        <v/>
      </c>
      <c r="AO16" s="37" t="str">
        <f>IFERROR(IF(VLOOKUP(A16,'Metering Ratio Score'!$A:$F,6,0)="","",VLOOKUP(A16,'Metering Ratio Score'!$A:$F,6,0)),"")</f>
        <v/>
      </c>
      <c r="AP16" s="37" t="str">
        <f>IFERROR(IF(VLOOKUP(A16,'Grievance Addressal'!$A:$C,3,0)="","",VLOOKUP(A16,'Grievance Addressal'!$A:$C,3,0)),"")</f>
        <v/>
      </c>
      <c r="AQ16" s="37" t="str">
        <f>IFERROR(IF(VLOOKUP(A16,'Grievance Addressal'!$A:$D,4,0)="","",VLOOKUP(A16,'Grievance Addressal'!$A:$D,4,0)),"")</f>
        <v>No</v>
      </c>
      <c r="AR16" s="37" t="str">
        <f>IFERROR(IF(VLOOKUP(A16,'Grievance Addressal'!$A:$E,5,0)="","",VLOOKUP(A16,'Grievance Addressal'!$A:$E,5,0)),"")</f>
        <v xml:space="preserve"> </v>
      </c>
      <c r="AS16" s="37" t="str">
        <f>IFERROR(IF(VLOOKUP(A16,Summary_Index!$A$5:$N$281,7,0)="","",VLOOKUP(A16,Summary_Index!$A$5:$N$281,7,0)),"")</f>
        <v/>
      </c>
      <c r="AT16" s="37" t="str">
        <f>IFERROR(IF(VLOOKUP(A16,Summary_Index!$A$5:$N$281,12,0)="","",VLOOKUP(A16,Summary_Index!$A$5:$N$281,12,0)),"")</f>
        <v/>
      </c>
      <c r="AU16" s="37" t="str">
        <f>IFERROR(IF(VLOOKUP(A16,Summary_Index!$A$5:$N$281,13,0)="","",VLOOKUP(A16,Summary_Index!$A$5:$N$281,13,0)),"")</f>
        <v/>
      </c>
      <c r="AV16" s="37" t="str">
        <f>IFERROR(IF(VLOOKUP(A16,Summary_Index!$A$5:$N$281,14,0)="","",VLOOKUP(A16,Summary_Index!$A$5:$N$281,14,0)),"")</f>
        <v/>
      </c>
    </row>
    <row r="17" spans="1:48" ht="45.6" customHeight="1" x14ac:dyDescent="0.3">
      <c r="A17" s="37">
        <f>Spatial!A17</f>
        <v>16</v>
      </c>
      <c r="B17" s="37" t="str">
        <f>Spatial!B17</f>
        <v>Gunjanagar_WSUC</v>
      </c>
      <c r="C17" s="37" t="str">
        <f>Spatial!C17</f>
        <v>Bagmati</v>
      </c>
      <c r="D17" s="37" t="str">
        <f>Spatial!D17</f>
        <v>Chitwan District</v>
      </c>
      <c r="E17" s="37" t="str">
        <f>Spatial!E17</f>
        <v>Metropolitan</v>
      </c>
      <c r="F17" s="37" t="str">
        <f>Spatial!F17</f>
        <v>Bharatpur</v>
      </c>
      <c r="G17" s="37">
        <f>IFERROR(Spatial!G17,"")</f>
        <v>0</v>
      </c>
      <c r="H17" s="50">
        <v>27.654199999999999</v>
      </c>
      <c r="I17" s="37">
        <v>84.478899999999996</v>
      </c>
      <c r="J17" s="37" t="str">
        <f t="shared" si="0"/>
        <v>Bharatpur_Chitwan District</v>
      </c>
      <c r="K17" s="37" t="str">
        <f>IFERROR(IF(VLOOKUP(A17,'Service Coverage'!$A:$C,3,0)="","",VLOOKUP(A17,'Service Coverage'!$A:$C,3,0)),"")</f>
        <v>No</v>
      </c>
      <c r="L17" s="37">
        <f>IFERROR(IF(VLOOKUP(A17,'Service Coverage'!$A:$D,4,0)="","",VLOOKUP(A17,'Service Coverage'!$A:$D,4,0)),"")</f>
        <v>5200</v>
      </c>
      <c r="M17" s="37" t="str">
        <f>IFERROR(IF(VLOOKUP(A17,'Service Coverage'!$A:$E,5,0)="","",VLOOKUP(A17,'Service Coverage'!$A:$E,5,0)),"")</f>
        <v/>
      </c>
      <c r="N17" s="37" t="str">
        <f>IFERROR(IF(VLOOKUP(A17,'Service Coverage'!$A:$F,6,0)="","",VLOOKUP(A17,'Service Coverage'!$A:$F,6,0)),"")</f>
        <v/>
      </c>
      <c r="O17" s="37" t="str">
        <f>IFERROR(IF(VLOOKUP(A17,'Service Coverage'!$A:$G,7,0)="","",VLOOKUP(A17,'Service Coverage'!$A:$G,7,0)),"")</f>
        <v/>
      </c>
      <c r="P17" s="37" t="str">
        <f>IFERROR(IF(VLOOKUP(A17,Adequacy!$A:$C,3,0)="","",VLOOKUP(A17,Adequacy!$A:$C,3,0)),"")</f>
        <v/>
      </c>
      <c r="Q17" s="37" t="str">
        <f>IFERROR(IF(VLOOKUP(A17,Adequacy!$A:$D,4,0)="","",VLOOKUP(A17,Adequacy!$A:$D,4,0)),"")</f>
        <v/>
      </c>
      <c r="R17" s="37" t="str">
        <f>IFERROR(IF(VLOOKUP(A17,Adequacy!$A:$E,5,0)="","",VLOOKUP(A17,Adequacy!$A:$E,5,0)),"")</f>
        <v/>
      </c>
      <c r="S17" s="37" t="str">
        <f>IFERROR(IF(VLOOKUP(A17,Adequacy!$A:$G,7,0)="","",VLOOKUP(A17,Adequacy!$A:$G,7,0)),"")</f>
        <v/>
      </c>
      <c r="T17" s="37" t="str">
        <f>IFERROR(IF(VLOOKUP(A17,Adequacy!$A:$H,8,0)="","",VLOOKUP(A17,Adequacy!$A:$H,8,0)),"")</f>
        <v xml:space="preserve"> </v>
      </c>
      <c r="U17" s="37" t="str">
        <f>IFERROR(IF(VLOOKUP(A17,Adequacy!$A:$J,10,0)="","",VLOOKUP(A17,Adequacy!$A:$J,10,0)),"")</f>
        <v/>
      </c>
      <c r="V17" s="37" t="str">
        <f>IFERROR(IF(VLOOKUP(A17,'Water Quality Score'!$A:$C,3,0)="","",VLOOKUP(A17,'Water Quality Score'!$A:$C,3,0)),"")</f>
        <v>yes</v>
      </c>
      <c r="W17" s="37" t="str">
        <f>IFERROR(IF(VLOOKUP(A17,'Water Quality Score'!$A:$D,4,0)="","",VLOOKUP(A17,'Water Quality Score'!$A:$D,4,0)),"")</f>
        <v/>
      </c>
      <c r="X17" s="37" t="str">
        <f>IFERROR(IF(VLOOKUP(A17,'Water Quality Score'!$A:$E,5,0)="","",VLOOKUP(A17,'Water Quality Score'!$A:$E,5,0)),"")</f>
        <v/>
      </c>
      <c r="Y17" s="37">
        <f>IFERROR(IF(VLOOKUP(A17,'Water Quality Score'!$A:$F,6,0)="","",VLOOKUP(A17,'Water Quality Score'!$A:$F,6,0)),"")</f>
        <v>0.2</v>
      </c>
      <c r="Z17" s="37">
        <f>IFERROR(IF(VLOOKUP(A17,'Reliability score'!$A:$C,3,0)="","",VLOOKUP(A17,'Reliability score'!$A:$C,3,0)),"")</f>
        <v>24</v>
      </c>
      <c r="AA17" s="37">
        <f>IFERROR(IF(VLOOKUP(A17,'Reliability score'!$A:$D,4,0)="","",VLOOKUP(A17,'Reliability score'!$A:$D,4,0)),"")</f>
        <v>1</v>
      </c>
      <c r="AB17" s="37" t="str">
        <f>IFERROR(IF(VLOOKUP(A17,NRW!$A:$C,3,0)="","",VLOOKUP(A17,NRW!$A:$C,3,0)),"")</f>
        <v/>
      </c>
      <c r="AC17" s="37" t="str">
        <f>IFERROR(IF(VLOOKUP(A17,NRW!$A:$D,4,0)="","",VLOOKUP(A17,NRW!$A:$D,4,0)),"")</f>
        <v/>
      </c>
      <c r="AD17" s="37" t="str">
        <f>IFERROR(IF(VLOOKUP(A17,NRW!$A:$E,5,0)="","",VLOOKUP(A17,NRW!$A:$E,5,0)),"")</f>
        <v/>
      </c>
      <c r="AE17" s="37" t="str">
        <f>IFERROR(IF(VLOOKUP(A17,NRW!$A:$F,6,0)="","",VLOOKUP(A17,NRW!$A:$F,6,0)),"")</f>
        <v/>
      </c>
      <c r="AF17" s="37" t="str">
        <f>IFERROR(IF(VLOOKUP(A17,NRW!$A:$G,7,0)="","",VLOOKUP(A17,NRW!$A:$G,7,0)),"")</f>
        <v/>
      </c>
      <c r="AG17" s="37" t="str">
        <f>IFERROR(IF(OR(VLOOKUP(A17,NRW!$A:$H,8,0)="",VLOOKUP(A17,NRW!$A:$H,8,0)=0),"",VLOOKUP(A17,NRW!$A:$H,8,0)),"")</f>
        <v/>
      </c>
      <c r="AH17" s="37">
        <f>IFERROR(IF(VLOOKUP(A17,'O&amp;M score'!$A:$D,4,0)="","",VLOOKUP(A17,'O&amp;M score'!$A:$D,4,0)),"")</f>
        <v>9600000</v>
      </c>
      <c r="AI17" s="37">
        <f>IFERROR(IF(VLOOKUP(A17,'O&amp;M score'!$A:$E,5,0)="","",VLOOKUP(A17,'O&amp;M score'!$A:$E,5,0)),"")</f>
        <v>12000000</v>
      </c>
      <c r="AJ17" s="37">
        <f>IFERROR(IF(VLOOKUP(A17,'O&amp;M score'!$A:$F,6,0)="","",VLOOKUP(A17,'O&amp;M score'!$A:$F,6,0)),"")</f>
        <v>0.8</v>
      </c>
      <c r="AK17" s="37">
        <f>IFERROR(IF(VLOOKUP(A17,'O&amp;M score'!$A:$G,7,0)="","",VLOOKUP(A17,'O&amp;M score'!$A:$G,7,0)),"")</f>
        <v>0.79999999999999982</v>
      </c>
      <c r="AL17" s="37">
        <f>IFERROR(IF(VLOOKUP(A17,'Metering Ratio Score'!$A:$C,3,0)="","",VLOOKUP(A17,'Metering Ratio Score'!$A:$C,3,0)),"")</f>
        <v>4010</v>
      </c>
      <c r="AM17" s="37" t="str">
        <f>IFERROR(IF(VLOOKUP(A17,'Metering Ratio Score'!$A:$D,4,0)="","",VLOOKUP(A17,'Metering Ratio Score'!$A:$D,4,0)),"")</f>
        <v/>
      </c>
      <c r="AN17" s="37" t="str">
        <f>IFERROR(IF(VLOOKUP(A17,'Metering Ratio Score'!$A:$E,5,0)="","",VLOOKUP(A17,'Metering Ratio Score'!$A:$E,5,0)),"")</f>
        <v/>
      </c>
      <c r="AO17" s="37" t="str">
        <f>IFERROR(IF(VLOOKUP(A17,'Metering Ratio Score'!$A:$F,6,0)="","",VLOOKUP(A17,'Metering Ratio Score'!$A:$F,6,0)),"")</f>
        <v/>
      </c>
      <c r="AP17" s="37" t="str">
        <f>IFERROR(IF(VLOOKUP(A17,'Grievance Addressal'!$A:$C,3,0)="","",VLOOKUP(A17,'Grievance Addressal'!$A:$C,3,0)),"")</f>
        <v/>
      </c>
      <c r="AQ17" s="37" t="str">
        <f>IFERROR(IF(VLOOKUP(A17,'Grievance Addressal'!$A:$D,4,0)="","",VLOOKUP(A17,'Grievance Addressal'!$A:$D,4,0)),"")</f>
        <v>No</v>
      </c>
      <c r="AR17" s="37" t="str">
        <f>IFERROR(IF(VLOOKUP(A17,'Grievance Addressal'!$A:$E,5,0)="","",VLOOKUP(A17,'Grievance Addressal'!$A:$E,5,0)),"")</f>
        <v xml:space="preserve"> </v>
      </c>
      <c r="AS17" s="37" t="str">
        <f>IFERROR(IF(VLOOKUP(A17,Summary_Index!$A$5:$N$281,7,0)="","",VLOOKUP(A17,Summary_Index!$A$5:$N$281,7,0)),"")</f>
        <v/>
      </c>
      <c r="AT17" s="37" t="str">
        <f>IFERROR(IF(VLOOKUP(A17,Summary_Index!$A$5:$N$281,12,0)="","",VLOOKUP(A17,Summary_Index!$A$5:$N$281,12,0)),"")</f>
        <v/>
      </c>
      <c r="AU17" s="37" t="str">
        <f>IFERROR(IF(VLOOKUP(A17,Summary_Index!$A$5:$N$281,13,0)="","",VLOOKUP(A17,Summary_Index!$A$5:$N$281,13,0)),"")</f>
        <v/>
      </c>
      <c r="AV17" s="37" t="str">
        <f>IFERROR(IF(VLOOKUP(A17,Summary_Index!$A$5:$N$281,14,0)="","",VLOOKUP(A17,Summary_Index!$A$5:$N$281,14,0)),"")</f>
        <v/>
      </c>
    </row>
    <row r="18" spans="1:48" ht="45.6" customHeight="1" x14ac:dyDescent="0.3">
      <c r="A18" s="37">
        <f>Spatial!A18</f>
        <v>17</v>
      </c>
      <c r="B18" s="37" t="str">
        <f>Spatial!B18</f>
        <v>Meghauli_WSUC</v>
      </c>
      <c r="C18" s="37" t="str">
        <f>Spatial!C18</f>
        <v>Bagmati</v>
      </c>
      <c r="D18" s="37" t="str">
        <f>Spatial!D18</f>
        <v>Chitwan District</v>
      </c>
      <c r="E18" s="37" t="str">
        <f>Spatial!E18</f>
        <v>Metropolitan</v>
      </c>
      <c r="F18" s="37" t="str">
        <f>Spatial!F18</f>
        <v>Bharatpur</v>
      </c>
      <c r="G18" s="37">
        <f>IFERROR(Spatial!G18,"")</f>
        <v>0</v>
      </c>
      <c r="H18" s="49">
        <v>27.5747</v>
      </c>
      <c r="I18" s="37">
        <v>84.228899999999996</v>
      </c>
      <c r="J18" s="37" t="str">
        <f t="shared" si="0"/>
        <v>Bharatpur_Chitwan District</v>
      </c>
      <c r="K18" s="37" t="str">
        <f>IFERROR(IF(VLOOKUP(A18,'Service Coverage'!$A:$C,3,0)="","",VLOOKUP(A18,'Service Coverage'!$A:$C,3,0)),"")</f>
        <v>No</v>
      </c>
      <c r="L18" s="37">
        <f>IFERROR(IF(VLOOKUP(A18,'Service Coverage'!$A:$D,4,0)="","",VLOOKUP(A18,'Service Coverage'!$A:$D,4,0)),"")</f>
        <v>2400</v>
      </c>
      <c r="M18" s="37" t="str">
        <f>IFERROR(IF(VLOOKUP(A18,'Service Coverage'!$A:$E,5,0)="","",VLOOKUP(A18,'Service Coverage'!$A:$E,5,0)),"")</f>
        <v/>
      </c>
      <c r="N18" s="37" t="str">
        <f>IFERROR(IF(VLOOKUP(A18,'Service Coverage'!$A:$F,6,0)="","",VLOOKUP(A18,'Service Coverage'!$A:$F,6,0)),"")</f>
        <v/>
      </c>
      <c r="O18" s="37" t="str">
        <f>IFERROR(IF(VLOOKUP(A18,'Service Coverage'!$A:$G,7,0)="","",VLOOKUP(A18,'Service Coverage'!$A:$G,7,0)),"")</f>
        <v/>
      </c>
      <c r="P18" s="37" t="str">
        <f>IFERROR(IF(VLOOKUP(A18,Adequacy!$A:$C,3,0)="","",VLOOKUP(A18,Adequacy!$A:$C,3,0)),"")</f>
        <v/>
      </c>
      <c r="Q18" s="37" t="str">
        <f>IFERROR(IF(VLOOKUP(A18,Adequacy!$A:$D,4,0)="","",VLOOKUP(A18,Adequacy!$A:$D,4,0)),"")</f>
        <v/>
      </c>
      <c r="R18" s="37" t="str">
        <f>IFERROR(IF(VLOOKUP(A18,Adequacy!$A:$E,5,0)="","",VLOOKUP(A18,Adequacy!$A:$E,5,0)),"")</f>
        <v/>
      </c>
      <c r="S18" s="37" t="str">
        <f>IFERROR(IF(VLOOKUP(A18,Adequacy!$A:$G,7,0)="","",VLOOKUP(A18,Adequacy!$A:$G,7,0)),"")</f>
        <v/>
      </c>
      <c r="T18" s="37" t="str">
        <f>IFERROR(IF(VLOOKUP(A18,Adequacy!$A:$H,8,0)="","",VLOOKUP(A18,Adequacy!$A:$H,8,0)),"")</f>
        <v xml:space="preserve"> </v>
      </c>
      <c r="U18" s="37" t="str">
        <f>IFERROR(IF(VLOOKUP(A18,Adequacy!$A:$J,10,0)="","",VLOOKUP(A18,Adequacy!$A:$J,10,0)),"")</f>
        <v/>
      </c>
      <c r="V18" s="37" t="str">
        <f>IFERROR(IF(VLOOKUP(A18,'Water Quality Score'!$A:$C,3,0)="","",VLOOKUP(A18,'Water Quality Score'!$A:$C,3,0)),"")</f>
        <v>yes</v>
      </c>
      <c r="W18" s="37" t="str">
        <f>IFERROR(IF(VLOOKUP(A18,'Water Quality Score'!$A:$D,4,0)="","",VLOOKUP(A18,'Water Quality Score'!$A:$D,4,0)),"")</f>
        <v/>
      </c>
      <c r="X18" s="37" t="str">
        <f>IFERROR(IF(VLOOKUP(A18,'Water Quality Score'!$A:$E,5,0)="","",VLOOKUP(A18,'Water Quality Score'!$A:$E,5,0)),"")</f>
        <v/>
      </c>
      <c r="Y18" s="37">
        <f>IFERROR(IF(VLOOKUP(A18,'Water Quality Score'!$A:$F,6,0)="","",VLOOKUP(A18,'Water Quality Score'!$A:$F,6,0)),"")</f>
        <v>0.2</v>
      </c>
      <c r="Z18" s="37">
        <f>IFERROR(IF(VLOOKUP(A18,'Reliability score'!$A:$C,3,0)="","",VLOOKUP(A18,'Reliability score'!$A:$C,3,0)),"")</f>
        <v>24</v>
      </c>
      <c r="AA18" s="37">
        <f>IFERROR(IF(VLOOKUP(A18,'Reliability score'!$A:$D,4,0)="","",VLOOKUP(A18,'Reliability score'!$A:$D,4,0)),"")</f>
        <v>1</v>
      </c>
      <c r="AB18" s="37" t="str">
        <f>IFERROR(IF(VLOOKUP(A18,NRW!$A:$C,3,0)="","",VLOOKUP(A18,NRW!$A:$C,3,0)),"")</f>
        <v/>
      </c>
      <c r="AC18" s="37" t="str">
        <f>IFERROR(IF(VLOOKUP(A18,NRW!$A:$D,4,0)="","",VLOOKUP(A18,NRW!$A:$D,4,0)),"")</f>
        <v/>
      </c>
      <c r="AD18" s="37" t="str">
        <f>IFERROR(IF(VLOOKUP(A18,NRW!$A:$E,5,0)="","",VLOOKUP(A18,NRW!$A:$E,5,0)),"")</f>
        <v/>
      </c>
      <c r="AE18" s="37" t="str">
        <f>IFERROR(IF(VLOOKUP(A18,NRW!$A:$F,6,0)="","",VLOOKUP(A18,NRW!$A:$F,6,0)),"")</f>
        <v/>
      </c>
      <c r="AF18" s="37" t="str">
        <f>IFERROR(IF(VLOOKUP(A18,NRW!$A:$G,7,0)="","",VLOOKUP(A18,NRW!$A:$G,7,0)),"")</f>
        <v/>
      </c>
      <c r="AG18" s="37" t="str">
        <f>IFERROR(IF(OR(VLOOKUP(A18,NRW!$A:$H,8,0)="",VLOOKUP(A18,NRW!$A:$H,8,0)=0),"",VLOOKUP(A18,NRW!$A:$H,8,0)),"")</f>
        <v/>
      </c>
      <c r="AH18" s="37" t="str">
        <f>IFERROR(IF(VLOOKUP(A18,'O&amp;M score'!$A:$D,4,0)="","",VLOOKUP(A18,'O&amp;M score'!$A:$D,4,0)),"")</f>
        <v/>
      </c>
      <c r="AI18" s="37" t="str">
        <f>IFERROR(IF(VLOOKUP(A18,'O&amp;M score'!$A:$E,5,0)="","",VLOOKUP(A18,'O&amp;M score'!$A:$E,5,0)),"")</f>
        <v/>
      </c>
      <c r="AJ18" s="37" t="str">
        <f>IFERROR(IF(VLOOKUP(A18,'O&amp;M score'!$A:$F,6,0)="","",VLOOKUP(A18,'O&amp;M score'!$A:$F,6,0)),"")</f>
        <v/>
      </c>
      <c r="AK18" s="37" t="str">
        <f>IFERROR(IF(VLOOKUP(A18,'O&amp;M score'!$A:$G,7,0)="","",VLOOKUP(A18,'O&amp;M score'!$A:$G,7,0)),"")</f>
        <v/>
      </c>
      <c r="AL18" s="37">
        <f>IFERROR(IF(VLOOKUP(A18,'Metering Ratio Score'!$A:$C,3,0)="","",VLOOKUP(A18,'Metering Ratio Score'!$A:$C,3,0)),"")</f>
        <v>2350</v>
      </c>
      <c r="AM18" s="37" t="str">
        <f>IFERROR(IF(VLOOKUP(A18,'Metering Ratio Score'!$A:$D,4,0)="","",VLOOKUP(A18,'Metering Ratio Score'!$A:$D,4,0)),"")</f>
        <v/>
      </c>
      <c r="AN18" s="37" t="str">
        <f>IFERROR(IF(VLOOKUP(A18,'Metering Ratio Score'!$A:$E,5,0)="","",VLOOKUP(A18,'Metering Ratio Score'!$A:$E,5,0)),"")</f>
        <v/>
      </c>
      <c r="AO18" s="37" t="str">
        <f>IFERROR(IF(VLOOKUP(A18,'Metering Ratio Score'!$A:$F,6,0)="","",VLOOKUP(A18,'Metering Ratio Score'!$A:$F,6,0)),"")</f>
        <v/>
      </c>
      <c r="AP18" s="37" t="str">
        <f>IFERROR(IF(VLOOKUP(A18,'Grievance Addressal'!$A:$C,3,0)="","",VLOOKUP(A18,'Grievance Addressal'!$A:$C,3,0)),"")</f>
        <v/>
      </c>
      <c r="AQ18" s="37" t="str">
        <f>IFERROR(IF(VLOOKUP(A18,'Grievance Addressal'!$A:$D,4,0)="","",VLOOKUP(A18,'Grievance Addressal'!$A:$D,4,0)),"")</f>
        <v>yes</v>
      </c>
      <c r="AR18" s="37" t="str">
        <f>IFERROR(IF(VLOOKUP(A18,'Grievance Addressal'!$A:$E,5,0)="","",VLOOKUP(A18,'Grievance Addressal'!$A:$E,5,0)),"")</f>
        <v xml:space="preserve"> </v>
      </c>
      <c r="AS18" s="37" t="str">
        <f>IFERROR(IF(VLOOKUP(A18,Summary_Index!$A$5:$N$281,7,0)="","",VLOOKUP(A18,Summary_Index!$A$5:$N$281,7,0)),"")</f>
        <v/>
      </c>
      <c r="AT18" s="37" t="str">
        <f>IFERROR(IF(VLOOKUP(A18,Summary_Index!$A$5:$N$281,12,0)="","",VLOOKUP(A18,Summary_Index!$A$5:$N$281,12,0)),"")</f>
        <v/>
      </c>
      <c r="AU18" s="37" t="str">
        <f>IFERROR(IF(VLOOKUP(A18,Summary_Index!$A$5:$N$281,13,0)="","",VLOOKUP(A18,Summary_Index!$A$5:$N$281,13,0)),"")</f>
        <v/>
      </c>
      <c r="AV18" s="37" t="str">
        <f>IFERROR(IF(VLOOKUP(A18,Summary_Index!$A$5:$N$281,14,0)="","",VLOOKUP(A18,Summary_Index!$A$5:$N$281,14,0)),"")</f>
        <v/>
      </c>
    </row>
    <row r="19" spans="1:48" ht="45.6" customHeight="1" x14ac:dyDescent="0.3">
      <c r="A19" s="37">
        <f>Spatial!A19</f>
        <v>18</v>
      </c>
      <c r="B19" s="37" t="str">
        <f>Spatial!B19</f>
        <v>Sukranagar_WSUC</v>
      </c>
      <c r="C19" s="37" t="str">
        <f>Spatial!C19</f>
        <v>Bagmati</v>
      </c>
      <c r="D19" s="37" t="str">
        <f>Spatial!D19</f>
        <v>Chitwan District</v>
      </c>
      <c r="E19" s="37" t="str">
        <f>Spatial!E19</f>
        <v>Metropolitan</v>
      </c>
      <c r="F19" s="37" t="str">
        <f>Spatial!F19</f>
        <v>Bharatpur</v>
      </c>
      <c r="G19" s="37">
        <f>IFERROR(Spatial!G19,"")</f>
        <v>0</v>
      </c>
      <c r="H19" s="50">
        <v>27.639399999999998</v>
      </c>
      <c r="I19" s="37">
        <v>84.393100000000004</v>
      </c>
      <c r="J19" s="37" t="str">
        <f t="shared" si="0"/>
        <v>Bharatpur_Chitwan District</v>
      </c>
      <c r="K19" s="37" t="str">
        <f>IFERROR(IF(VLOOKUP(A19,'Service Coverage'!$A:$C,3,0)="","",VLOOKUP(A19,'Service Coverage'!$A:$C,3,0)),"")</f>
        <v>No</v>
      </c>
      <c r="L19" s="37">
        <f>IFERROR(IF(VLOOKUP(A19,'Service Coverage'!$A:$D,4,0)="","",VLOOKUP(A19,'Service Coverage'!$A:$D,4,0)),"")</f>
        <v>10190</v>
      </c>
      <c r="M19" s="37" t="str">
        <f>IFERROR(IF(VLOOKUP(A19,'Service Coverage'!$A:$E,5,0)="","",VLOOKUP(A19,'Service Coverage'!$A:$E,5,0)),"")</f>
        <v/>
      </c>
      <c r="N19" s="37" t="str">
        <f>IFERROR(IF(VLOOKUP(A19,'Service Coverage'!$A:$F,6,0)="","",VLOOKUP(A19,'Service Coverage'!$A:$F,6,0)),"")</f>
        <v/>
      </c>
      <c r="O19" s="37" t="str">
        <f>IFERROR(IF(VLOOKUP(A19,'Service Coverage'!$A:$G,7,0)="","",VLOOKUP(A19,'Service Coverage'!$A:$G,7,0)),"")</f>
        <v/>
      </c>
      <c r="P19" s="37" t="str">
        <f>IFERROR(IF(VLOOKUP(A19,Adequacy!$A:$C,3,0)="","",VLOOKUP(A19,Adequacy!$A:$C,3,0)),"")</f>
        <v/>
      </c>
      <c r="Q19" s="37" t="str">
        <f>IFERROR(IF(VLOOKUP(A19,Adequacy!$A:$D,4,0)="","",VLOOKUP(A19,Adequacy!$A:$D,4,0)),"")</f>
        <v/>
      </c>
      <c r="R19" s="37" t="str">
        <f>IFERROR(IF(VLOOKUP(A19,Adequacy!$A:$E,5,0)="","",VLOOKUP(A19,Adequacy!$A:$E,5,0)),"")</f>
        <v/>
      </c>
      <c r="S19" s="37" t="str">
        <f>IFERROR(IF(VLOOKUP(A19,Adequacy!$A:$G,7,0)="","",VLOOKUP(A19,Adequacy!$A:$G,7,0)),"")</f>
        <v/>
      </c>
      <c r="T19" s="37" t="str">
        <f>IFERROR(IF(VLOOKUP(A19,Adequacy!$A:$H,8,0)="","",VLOOKUP(A19,Adequacy!$A:$H,8,0)),"")</f>
        <v xml:space="preserve"> </v>
      </c>
      <c r="U19" s="37" t="str">
        <f>IFERROR(IF(VLOOKUP(A19,Adequacy!$A:$J,10,0)="","",VLOOKUP(A19,Adequacy!$A:$J,10,0)),"")</f>
        <v/>
      </c>
      <c r="V19" s="37" t="str">
        <f>IFERROR(IF(VLOOKUP(A19,'Water Quality Score'!$A:$C,3,0)="","",VLOOKUP(A19,'Water Quality Score'!$A:$C,3,0)),"")</f>
        <v>yes</v>
      </c>
      <c r="W19" s="37" t="str">
        <f>IFERROR(IF(VLOOKUP(A19,'Water Quality Score'!$A:$D,4,0)="","",VLOOKUP(A19,'Water Quality Score'!$A:$D,4,0)),"")</f>
        <v/>
      </c>
      <c r="X19" s="37" t="str">
        <f>IFERROR(IF(VLOOKUP(A19,'Water Quality Score'!$A:$E,5,0)="","",VLOOKUP(A19,'Water Quality Score'!$A:$E,5,0)),"")</f>
        <v/>
      </c>
      <c r="Y19" s="37">
        <f>IFERROR(IF(VLOOKUP(A19,'Water Quality Score'!$A:$F,6,0)="","",VLOOKUP(A19,'Water Quality Score'!$A:$F,6,0)),"")</f>
        <v>0.2</v>
      </c>
      <c r="Z19" s="37">
        <f>IFERROR(IF(VLOOKUP(A19,'Reliability score'!$A:$C,3,0)="","",VLOOKUP(A19,'Reliability score'!$A:$C,3,0)),"")</f>
        <v>24</v>
      </c>
      <c r="AA19" s="37">
        <f>IFERROR(IF(VLOOKUP(A19,'Reliability score'!$A:$D,4,0)="","",VLOOKUP(A19,'Reliability score'!$A:$D,4,0)),"")</f>
        <v>1</v>
      </c>
      <c r="AB19" s="37" t="str">
        <f>IFERROR(IF(VLOOKUP(A19,NRW!$A:$C,3,0)="","",VLOOKUP(A19,NRW!$A:$C,3,0)),"")</f>
        <v/>
      </c>
      <c r="AC19" s="37" t="str">
        <f>IFERROR(IF(VLOOKUP(A19,NRW!$A:$D,4,0)="","",VLOOKUP(A19,NRW!$A:$D,4,0)),"")</f>
        <v/>
      </c>
      <c r="AD19" s="37" t="str">
        <f>IFERROR(IF(VLOOKUP(A19,NRW!$A:$E,5,0)="","",VLOOKUP(A19,NRW!$A:$E,5,0)),"")</f>
        <v/>
      </c>
      <c r="AE19" s="37" t="str">
        <f>IFERROR(IF(VLOOKUP(A19,NRW!$A:$F,6,0)="","",VLOOKUP(A19,NRW!$A:$F,6,0)),"")</f>
        <v/>
      </c>
      <c r="AF19" s="37" t="str">
        <f>IFERROR(IF(VLOOKUP(A19,NRW!$A:$G,7,0)="","",VLOOKUP(A19,NRW!$A:$G,7,0)),"")</f>
        <v/>
      </c>
      <c r="AG19" s="37" t="str">
        <f>IFERROR(IF(OR(VLOOKUP(A19,NRW!$A:$H,8,0)="",VLOOKUP(A19,NRW!$A:$H,8,0)=0),"",VLOOKUP(A19,NRW!$A:$H,8,0)),"")</f>
        <v/>
      </c>
      <c r="AH19" s="37">
        <f>IFERROR(IF(VLOOKUP(A19,'O&amp;M score'!$A:$D,4,0)="","",VLOOKUP(A19,'O&amp;M score'!$A:$D,4,0)),"")</f>
        <v>5000000</v>
      </c>
      <c r="AI19" s="37">
        <f>IFERROR(IF(VLOOKUP(A19,'O&amp;M score'!$A:$E,5,0)="","",VLOOKUP(A19,'O&amp;M score'!$A:$E,5,0)),"")</f>
        <v>4800000</v>
      </c>
      <c r="AJ19" s="37">
        <f>IFERROR(IF(VLOOKUP(A19,'O&amp;M score'!$A:$F,6,0)="","",VLOOKUP(A19,'O&amp;M score'!$A:$F,6,0)),"")</f>
        <v>1.0416666666666667</v>
      </c>
      <c r="AK19" s="37">
        <f>IFERROR(IF(VLOOKUP(A19,'O&amp;M score'!$A:$G,7,0)="","",VLOOKUP(A19,'O&amp;M score'!$A:$G,7,0)),"")</f>
        <v>0.31666666666666643</v>
      </c>
      <c r="AL19" s="37">
        <f>IFERROR(IF(VLOOKUP(A19,'Metering Ratio Score'!$A:$C,3,0)="","",VLOOKUP(A19,'Metering Ratio Score'!$A:$C,3,0)),"")</f>
        <v>2038</v>
      </c>
      <c r="AM19" s="37" t="str">
        <f>IFERROR(IF(VLOOKUP(A19,'Metering Ratio Score'!$A:$D,4,0)="","",VLOOKUP(A19,'Metering Ratio Score'!$A:$D,4,0)),"")</f>
        <v/>
      </c>
      <c r="AN19" s="37" t="str">
        <f>IFERROR(IF(VLOOKUP(A19,'Metering Ratio Score'!$A:$E,5,0)="","",VLOOKUP(A19,'Metering Ratio Score'!$A:$E,5,0)),"")</f>
        <v/>
      </c>
      <c r="AO19" s="37" t="str">
        <f>IFERROR(IF(VLOOKUP(A19,'Metering Ratio Score'!$A:$F,6,0)="","",VLOOKUP(A19,'Metering Ratio Score'!$A:$F,6,0)),"")</f>
        <v/>
      </c>
      <c r="AP19" s="37" t="str">
        <f>IFERROR(IF(VLOOKUP(A19,'Grievance Addressal'!$A:$C,3,0)="","",VLOOKUP(A19,'Grievance Addressal'!$A:$C,3,0)),"")</f>
        <v/>
      </c>
      <c r="AQ19" s="37" t="str">
        <f>IFERROR(IF(VLOOKUP(A19,'Grievance Addressal'!$A:$D,4,0)="","",VLOOKUP(A19,'Grievance Addressal'!$A:$D,4,0)),"")</f>
        <v>No</v>
      </c>
      <c r="AR19" s="37" t="str">
        <f>IFERROR(IF(VLOOKUP(A19,'Grievance Addressal'!$A:$E,5,0)="","",VLOOKUP(A19,'Grievance Addressal'!$A:$E,5,0)),"")</f>
        <v xml:space="preserve"> </v>
      </c>
      <c r="AS19" s="37" t="str">
        <f>IFERROR(IF(VLOOKUP(A19,Summary_Index!$A$5:$N$281,7,0)="","",VLOOKUP(A19,Summary_Index!$A$5:$N$281,7,0)),"")</f>
        <v/>
      </c>
      <c r="AT19" s="37" t="str">
        <f>IFERROR(IF(VLOOKUP(A19,Summary_Index!$A$5:$N$281,12,0)="","",VLOOKUP(A19,Summary_Index!$A$5:$N$281,12,0)),"")</f>
        <v/>
      </c>
      <c r="AU19" s="37" t="str">
        <f>IFERROR(IF(VLOOKUP(A19,Summary_Index!$A$5:$N$281,13,0)="","",VLOOKUP(A19,Summary_Index!$A$5:$N$281,13,0)),"")</f>
        <v/>
      </c>
      <c r="AV19" s="37" t="str">
        <f>IFERROR(IF(VLOOKUP(A19,Summary_Index!$A$5:$N$281,14,0)="","",VLOOKUP(A19,Summary_Index!$A$5:$N$281,14,0)),"")</f>
        <v/>
      </c>
    </row>
    <row r="20" spans="1:48" ht="45.6" customHeight="1" x14ac:dyDescent="0.3">
      <c r="A20" s="37">
        <f>Spatial!A20</f>
        <v>19</v>
      </c>
      <c r="B20" s="37" t="str">
        <f>Spatial!B20</f>
        <v>Pithuwa_WSUC</v>
      </c>
      <c r="C20" s="37" t="str">
        <f>Spatial!C20</f>
        <v>Bagmati</v>
      </c>
      <c r="D20" s="37" t="str">
        <f>Spatial!D20</f>
        <v>Chitwan District</v>
      </c>
      <c r="E20" s="37" t="str">
        <f>Spatial!E20</f>
        <v>Municipality</v>
      </c>
      <c r="F20" s="37" t="str">
        <f>Spatial!F20</f>
        <v>Ratnanagar</v>
      </c>
      <c r="G20" s="37">
        <f>IFERROR(Spatial!G20,"")</f>
        <v>0</v>
      </c>
      <c r="H20" s="49">
        <v>27.583300000000001</v>
      </c>
      <c r="I20" s="37">
        <v>84.366699999999994</v>
      </c>
      <c r="J20" s="37" t="str">
        <f t="shared" si="0"/>
        <v>Ratnanagar_Chitwan District</v>
      </c>
      <c r="K20" s="37" t="str">
        <f>IFERROR(IF(VLOOKUP(A20,'Service Coverage'!$A:$C,3,0)="","",VLOOKUP(A20,'Service Coverage'!$A:$C,3,0)),"")</f>
        <v>No</v>
      </c>
      <c r="L20" s="37">
        <f>IFERROR(IF(VLOOKUP(A20,'Service Coverage'!$A:$D,4,0)="","",VLOOKUP(A20,'Service Coverage'!$A:$D,4,0)),"")</f>
        <v>5100</v>
      </c>
      <c r="M20" s="37" t="str">
        <f>IFERROR(IF(VLOOKUP(A20,'Service Coverage'!$A:$E,5,0)="","",VLOOKUP(A20,'Service Coverage'!$A:$E,5,0)),"")</f>
        <v/>
      </c>
      <c r="N20" s="37" t="str">
        <f>IFERROR(IF(VLOOKUP(A20,'Service Coverage'!$A:$F,6,0)="","",VLOOKUP(A20,'Service Coverage'!$A:$F,6,0)),"")</f>
        <v/>
      </c>
      <c r="O20" s="37" t="str">
        <f>IFERROR(IF(VLOOKUP(A20,'Service Coverage'!$A:$G,7,0)="","",VLOOKUP(A20,'Service Coverage'!$A:$G,7,0)),"")</f>
        <v/>
      </c>
      <c r="P20" s="37" t="str">
        <f>IFERROR(IF(VLOOKUP(A20,Adequacy!$A:$C,3,0)="","",VLOOKUP(A20,Adequacy!$A:$C,3,0)),"")</f>
        <v/>
      </c>
      <c r="Q20" s="37" t="str">
        <f>IFERROR(IF(VLOOKUP(A20,Adequacy!$A:$D,4,0)="","",VLOOKUP(A20,Adequacy!$A:$D,4,0)),"")</f>
        <v/>
      </c>
      <c r="R20" s="37" t="str">
        <f>IFERROR(IF(VLOOKUP(A20,Adequacy!$A:$E,5,0)="","",VLOOKUP(A20,Adequacy!$A:$E,5,0)),"")</f>
        <v/>
      </c>
      <c r="S20" s="37" t="str">
        <f>IFERROR(IF(VLOOKUP(A20,Adequacy!$A:$G,7,0)="","",VLOOKUP(A20,Adequacy!$A:$G,7,0)),"")</f>
        <v/>
      </c>
      <c r="T20" s="37" t="str">
        <f>IFERROR(IF(VLOOKUP(A20,Adequacy!$A:$H,8,0)="","",VLOOKUP(A20,Adequacy!$A:$H,8,0)),"")</f>
        <v xml:space="preserve"> </v>
      </c>
      <c r="U20" s="37" t="str">
        <f>IFERROR(IF(VLOOKUP(A20,Adequacy!$A:$J,10,0)="","",VLOOKUP(A20,Adequacy!$A:$J,10,0)),"")</f>
        <v/>
      </c>
      <c r="V20" s="37" t="str">
        <f>IFERROR(IF(VLOOKUP(A20,'Water Quality Score'!$A:$C,3,0)="","",VLOOKUP(A20,'Water Quality Score'!$A:$C,3,0)),"")</f>
        <v>yes</v>
      </c>
      <c r="W20" s="37" t="str">
        <f>IFERROR(IF(VLOOKUP(A20,'Water Quality Score'!$A:$D,4,0)="","",VLOOKUP(A20,'Water Quality Score'!$A:$D,4,0)),"")</f>
        <v/>
      </c>
      <c r="X20" s="37" t="str">
        <f>IFERROR(IF(VLOOKUP(A20,'Water Quality Score'!$A:$E,5,0)="","",VLOOKUP(A20,'Water Quality Score'!$A:$E,5,0)),"")</f>
        <v/>
      </c>
      <c r="Y20" s="37">
        <f>IFERROR(IF(VLOOKUP(A20,'Water Quality Score'!$A:$F,6,0)="","",VLOOKUP(A20,'Water Quality Score'!$A:$F,6,0)),"")</f>
        <v>0.2</v>
      </c>
      <c r="Z20" s="37">
        <f>IFERROR(IF(VLOOKUP(A20,'Reliability score'!$A:$C,3,0)="","",VLOOKUP(A20,'Reliability score'!$A:$C,3,0)),"")</f>
        <v>24</v>
      </c>
      <c r="AA20" s="37">
        <f>IFERROR(IF(VLOOKUP(A20,'Reliability score'!$A:$D,4,0)="","",VLOOKUP(A20,'Reliability score'!$A:$D,4,0)),"")</f>
        <v>1</v>
      </c>
      <c r="AB20" s="37" t="str">
        <f>IFERROR(IF(VLOOKUP(A20,NRW!$A:$C,3,0)="","",VLOOKUP(A20,NRW!$A:$C,3,0)),"")</f>
        <v/>
      </c>
      <c r="AC20" s="37" t="str">
        <f>IFERROR(IF(VLOOKUP(A20,NRW!$A:$D,4,0)="","",VLOOKUP(A20,NRW!$A:$D,4,0)),"")</f>
        <v/>
      </c>
      <c r="AD20" s="37" t="str">
        <f>IFERROR(IF(VLOOKUP(A20,NRW!$A:$E,5,0)="","",VLOOKUP(A20,NRW!$A:$E,5,0)),"")</f>
        <v/>
      </c>
      <c r="AE20" s="37" t="str">
        <f>IFERROR(IF(VLOOKUP(A20,NRW!$A:$F,6,0)="","",VLOOKUP(A20,NRW!$A:$F,6,0)),"")</f>
        <v/>
      </c>
      <c r="AF20" s="37" t="str">
        <f>IFERROR(IF(VLOOKUP(A20,NRW!$A:$G,7,0)="","",VLOOKUP(A20,NRW!$A:$G,7,0)),"")</f>
        <v/>
      </c>
      <c r="AG20" s="37" t="str">
        <f>IFERROR(IF(OR(VLOOKUP(A20,NRW!$A:$H,8,0)="",VLOOKUP(A20,NRW!$A:$H,8,0)=0),"",VLOOKUP(A20,NRW!$A:$H,8,0)),"")</f>
        <v/>
      </c>
      <c r="AH20" s="37" t="str">
        <f>IFERROR(IF(VLOOKUP(A20,'O&amp;M score'!$A:$D,4,0)="","",VLOOKUP(A20,'O&amp;M score'!$A:$D,4,0)),"")</f>
        <v/>
      </c>
      <c r="AI20" s="37" t="str">
        <f>IFERROR(IF(VLOOKUP(A20,'O&amp;M score'!$A:$E,5,0)="","",VLOOKUP(A20,'O&amp;M score'!$A:$E,5,0)),"")</f>
        <v/>
      </c>
      <c r="AJ20" s="37" t="str">
        <f>IFERROR(IF(VLOOKUP(A20,'O&amp;M score'!$A:$F,6,0)="","",VLOOKUP(A20,'O&amp;M score'!$A:$F,6,0)),"")</f>
        <v/>
      </c>
      <c r="AK20" s="37" t="str">
        <f>IFERROR(IF(VLOOKUP(A20,'O&amp;M score'!$A:$G,7,0)="","",VLOOKUP(A20,'O&amp;M score'!$A:$G,7,0)),"")</f>
        <v/>
      </c>
      <c r="AL20" s="37">
        <f>IFERROR(IF(VLOOKUP(A20,'Metering Ratio Score'!$A:$C,3,0)="","",VLOOKUP(A20,'Metering Ratio Score'!$A:$C,3,0)),"")</f>
        <v>4891</v>
      </c>
      <c r="AM20" s="37" t="str">
        <f>IFERROR(IF(VLOOKUP(A20,'Metering Ratio Score'!$A:$D,4,0)="","",VLOOKUP(A20,'Metering Ratio Score'!$A:$D,4,0)),"")</f>
        <v/>
      </c>
      <c r="AN20" s="37" t="str">
        <f>IFERROR(IF(VLOOKUP(A20,'Metering Ratio Score'!$A:$E,5,0)="","",VLOOKUP(A20,'Metering Ratio Score'!$A:$E,5,0)),"")</f>
        <v/>
      </c>
      <c r="AO20" s="37" t="str">
        <f>IFERROR(IF(VLOOKUP(A20,'Metering Ratio Score'!$A:$F,6,0)="","",VLOOKUP(A20,'Metering Ratio Score'!$A:$F,6,0)),"")</f>
        <v/>
      </c>
      <c r="AP20" s="37" t="str">
        <f>IFERROR(IF(VLOOKUP(A20,'Grievance Addressal'!$A:$C,3,0)="","",VLOOKUP(A20,'Grievance Addressal'!$A:$C,3,0)),"")</f>
        <v/>
      </c>
      <c r="AQ20" s="37" t="str">
        <f>IFERROR(IF(VLOOKUP(A20,'Grievance Addressal'!$A:$D,4,0)="","",VLOOKUP(A20,'Grievance Addressal'!$A:$D,4,0)),"")</f>
        <v>No</v>
      </c>
      <c r="AR20" s="37" t="str">
        <f>IFERROR(IF(VLOOKUP(A20,'Grievance Addressal'!$A:$E,5,0)="","",VLOOKUP(A20,'Grievance Addressal'!$A:$E,5,0)),"")</f>
        <v xml:space="preserve"> </v>
      </c>
      <c r="AS20" s="37" t="str">
        <f>IFERROR(IF(VLOOKUP(A20,Summary_Index!$A$5:$N$281,7,0)="","",VLOOKUP(A20,Summary_Index!$A$5:$N$281,7,0)),"")</f>
        <v/>
      </c>
      <c r="AT20" s="37" t="str">
        <f>IFERROR(IF(VLOOKUP(A20,Summary_Index!$A$5:$N$281,12,0)="","",VLOOKUP(A20,Summary_Index!$A$5:$N$281,12,0)),"")</f>
        <v/>
      </c>
      <c r="AU20" s="37" t="str">
        <f>IFERROR(IF(VLOOKUP(A20,Summary_Index!$A$5:$N$281,13,0)="","",VLOOKUP(A20,Summary_Index!$A$5:$N$281,13,0)),"")</f>
        <v/>
      </c>
      <c r="AV20" s="37" t="str">
        <f>IFERROR(IF(VLOOKUP(A20,Summary_Index!$A$5:$N$281,14,0)="","",VLOOKUP(A20,Summary_Index!$A$5:$N$281,14,0)),"")</f>
        <v/>
      </c>
    </row>
    <row r="21" spans="1:48" ht="45.6" customHeight="1" x14ac:dyDescent="0.3">
      <c r="A21" s="37">
        <f>Spatial!A21</f>
        <v>20</v>
      </c>
      <c r="B21" s="37" t="str">
        <f>Spatial!B21</f>
        <v>Jutpani_WSUC</v>
      </c>
      <c r="C21" s="37" t="str">
        <f>Spatial!C21</f>
        <v>Bagmati</v>
      </c>
      <c r="D21" s="37" t="str">
        <f>Spatial!D21</f>
        <v>Chitwan District</v>
      </c>
      <c r="E21" s="37" t="str">
        <f>Spatial!E21</f>
        <v>Municipality</v>
      </c>
      <c r="F21" s="37" t="str">
        <f>Spatial!F21</f>
        <v>Kalika</v>
      </c>
      <c r="G21" s="37">
        <f>IFERROR(Spatial!G21,"")</f>
        <v>0</v>
      </c>
      <c r="H21" s="50">
        <v>27.55</v>
      </c>
      <c r="I21" s="37">
        <v>84.5167</v>
      </c>
      <c r="J21" s="37" t="str">
        <f t="shared" si="0"/>
        <v>Kalika_Chitwan District</v>
      </c>
      <c r="K21" s="37" t="str">
        <f>IFERROR(IF(VLOOKUP(A21,'Service Coverage'!$A:$C,3,0)="","",VLOOKUP(A21,'Service Coverage'!$A:$C,3,0)),"")</f>
        <v>No</v>
      </c>
      <c r="L21" s="37">
        <f>IFERROR(IF(VLOOKUP(A21,'Service Coverage'!$A:$D,4,0)="","",VLOOKUP(A21,'Service Coverage'!$A:$D,4,0)),"")</f>
        <v>4150</v>
      </c>
      <c r="M21" s="37" t="str">
        <f>IFERROR(IF(VLOOKUP(A21,'Service Coverage'!$A:$E,5,0)="","",VLOOKUP(A21,'Service Coverage'!$A:$E,5,0)),"")</f>
        <v/>
      </c>
      <c r="N21" s="37" t="str">
        <f>IFERROR(IF(VLOOKUP(A21,'Service Coverage'!$A:$F,6,0)="","",VLOOKUP(A21,'Service Coverage'!$A:$F,6,0)),"")</f>
        <v/>
      </c>
      <c r="O21" s="37" t="str">
        <f>IFERROR(IF(VLOOKUP(A21,'Service Coverage'!$A:$G,7,0)="","",VLOOKUP(A21,'Service Coverage'!$A:$G,7,0)),"")</f>
        <v/>
      </c>
      <c r="P21" s="37" t="str">
        <f>IFERROR(IF(VLOOKUP(A21,Adequacy!$A:$C,3,0)="","",VLOOKUP(A21,Adequacy!$A:$C,3,0)),"")</f>
        <v/>
      </c>
      <c r="Q21" s="37" t="str">
        <f>IFERROR(IF(VLOOKUP(A21,Adequacy!$A:$D,4,0)="","",VLOOKUP(A21,Adequacy!$A:$D,4,0)),"")</f>
        <v/>
      </c>
      <c r="R21" s="37" t="str">
        <f>IFERROR(IF(VLOOKUP(A21,Adequacy!$A:$E,5,0)="","",VLOOKUP(A21,Adequacy!$A:$E,5,0)),"")</f>
        <v/>
      </c>
      <c r="S21" s="37" t="str">
        <f>IFERROR(IF(VLOOKUP(A21,Adequacy!$A:$G,7,0)="","",VLOOKUP(A21,Adequacy!$A:$G,7,0)),"")</f>
        <v/>
      </c>
      <c r="T21" s="37" t="str">
        <f>IFERROR(IF(VLOOKUP(A21,Adequacy!$A:$H,8,0)="","",VLOOKUP(A21,Adequacy!$A:$H,8,0)),"")</f>
        <v xml:space="preserve"> </v>
      </c>
      <c r="U21" s="37" t="str">
        <f>IFERROR(IF(VLOOKUP(A21,Adequacy!$A:$J,10,0)="","",VLOOKUP(A21,Adequacy!$A:$J,10,0)),"")</f>
        <v/>
      </c>
      <c r="V21" s="37" t="str">
        <f>IFERROR(IF(VLOOKUP(A21,'Water Quality Score'!$A:$C,3,0)="","",VLOOKUP(A21,'Water Quality Score'!$A:$C,3,0)),"")</f>
        <v>yes</v>
      </c>
      <c r="W21" s="37" t="str">
        <f>IFERROR(IF(VLOOKUP(A21,'Water Quality Score'!$A:$D,4,0)="","",VLOOKUP(A21,'Water Quality Score'!$A:$D,4,0)),"")</f>
        <v/>
      </c>
      <c r="X21" s="37" t="str">
        <f>IFERROR(IF(VLOOKUP(A21,'Water Quality Score'!$A:$E,5,0)="","",VLOOKUP(A21,'Water Quality Score'!$A:$E,5,0)),"")</f>
        <v/>
      </c>
      <c r="Y21" s="37">
        <f>IFERROR(IF(VLOOKUP(A21,'Water Quality Score'!$A:$F,6,0)="","",VLOOKUP(A21,'Water Quality Score'!$A:$F,6,0)),"")</f>
        <v>0.2</v>
      </c>
      <c r="Z21" s="37">
        <f>IFERROR(IF(VLOOKUP(A21,'Reliability score'!$A:$C,3,0)="","",VLOOKUP(A21,'Reliability score'!$A:$C,3,0)),"")</f>
        <v>15</v>
      </c>
      <c r="AA21" s="37">
        <f>IFERROR(IF(VLOOKUP(A21,'Reliability score'!$A:$D,4,0)="","",VLOOKUP(A21,'Reliability score'!$A:$D,4,0)),"")</f>
        <v>0.7857142857142857</v>
      </c>
      <c r="AB21" s="37" t="str">
        <f>IFERROR(IF(VLOOKUP(A21,NRW!$A:$C,3,0)="","",VLOOKUP(A21,NRW!$A:$C,3,0)),"")</f>
        <v/>
      </c>
      <c r="AC21" s="37" t="str">
        <f>IFERROR(IF(VLOOKUP(A21,NRW!$A:$D,4,0)="","",VLOOKUP(A21,NRW!$A:$D,4,0)),"")</f>
        <v/>
      </c>
      <c r="AD21" s="37" t="str">
        <f>IFERROR(IF(VLOOKUP(A21,NRW!$A:$E,5,0)="","",VLOOKUP(A21,NRW!$A:$E,5,0)),"")</f>
        <v/>
      </c>
      <c r="AE21" s="37" t="str">
        <f>IFERROR(IF(VLOOKUP(A21,NRW!$A:$F,6,0)="","",VLOOKUP(A21,NRW!$A:$F,6,0)),"")</f>
        <v/>
      </c>
      <c r="AF21" s="37" t="str">
        <f>IFERROR(IF(VLOOKUP(A21,NRW!$A:$G,7,0)="","",VLOOKUP(A21,NRW!$A:$G,7,0)),"")</f>
        <v/>
      </c>
      <c r="AG21" s="37" t="str">
        <f>IFERROR(IF(OR(VLOOKUP(A21,NRW!$A:$H,8,0)="",VLOOKUP(A21,NRW!$A:$H,8,0)=0),"",VLOOKUP(A21,NRW!$A:$H,8,0)),"")</f>
        <v/>
      </c>
      <c r="AH21" s="37">
        <f>IFERROR(IF(VLOOKUP(A21,'O&amp;M score'!$A:$D,4,0)="","",VLOOKUP(A21,'O&amp;M score'!$A:$D,4,0)),"")</f>
        <v>135700000</v>
      </c>
      <c r="AI21" s="37">
        <f>IFERROR(IF(VLOOKUP(A21,'O&amp;M score'!$A:$E,5,0)="","",VLOOKUP(A21,'O&amp;M score'!$A:$E,5,0)),"")</f>
        <v>129500000</v>
      </c>
      <c r="AJ21" s="37">
        <f>IFERROR(IF(VLOOKUP(A21,'O&amp;M score'!$A:$F,6,0)="","",VLOOKUP(A21,'O&amp;M score'!$A:$F,6,0)),"")</f>
        <v>1.047876447876448</v>
      </c>
      <c r="AK21" s="37">
        <f>IFERROR(IF(VLOOKUP(A21,'O&amp;M score'!$A:$G,7,0)="","",VLOOKUP(A21,'O&amp;M score'!$A:$G,7,0)),"")</f>
        <v>0.30424710424710399</v>
      </c>
      <c r="AL21" s="37">
        <f>IFERROR(IF(VLOOKUP(A21,'Metering Ratio Score'!$A:$C,3,0)="","",VLOOKUP(A21,'Metering Ratio Score'!$A:$C,3,0)),"")</f>
        <v>4150</v>
      </c>
      <c r="AM21" s="37" t="str">
        <f>IFERROR(IF(VLOOKUP(A21,'Metering Ratio Score'!$A:$D,4,0)="","",VLOOKUP(A21,'Metering Ratio Score'!$A:$D,4,0)),"")</f>
        <v/>
      </c>
      <c r="AN21" s="37" t="str">
        <f>IFERROR(IF(VLOOKUP(A21,'Metering Ratio Score'!$A:$E,5,0)="","",VLOOKUP(A21,'Metering Ratio Score'!$A:$E,5,0)),"")</f>
        <v/>
      </c>
      <c r="AO21" s="37" t="str">
        <f>IFERROR(IF(VLOOKUP(A21,'Metering Ratio Score'!$A:$F,6,0)="","",VLOOKUP(A21,'Metering Ratio Score'!$A:$F,6,0)),"")</f>
        <v/>
      </c>
      <c r="AP21" s="37" t="str">
        <f>IFERROR(IF(VLOOKUP(A21,'Grievance Addressal'!$A:$C,3,0)="","",VLOOKUP(A21,'Grievance Addressal'!$A:$C,3,0)),"")</f>
        <v/>
      </c>
      <c r="AQ21" s="37" t="str">
        <f>IFERROR(IF(VLOOKUP(A21,'Grievance Addressal'!$A:$D,4,0)="","",VLOOKUP(A21,'Grievance Addressal'!$A:$D,4,0)),"")</f>
        <v>No</v>
      </c>
      <c r="AR21" s="37" t="str">
        <f>IFERROR(IF(VLOOKUP(A21,'Grievance Addressal'!$A:$E,5,0)="","",VLOOKUP(A21,'Grievance Addressal'!$A:$E,5,0)),"")</f>
        <v xml:space="preserve"> </v>
      </c>
      <c r="AS21" s="37" t="str">
        <f>IFERROR(IF(VLOOKUP(A21,Summary_Index!$A$5:$N$281,7,0)="","",VLOOKUP(A21,Summary_Index!$A$5:$N$281,7,0)),"")</f>
        <v/>
      </c>
      <c r="AT21" s="37" t="str">
        <f>IFERROR(IF(VLOOKUP(A21,Summary_Index!$A$5:$N$281,12,0)="","",VLOOKUP(A21,Summary_Index!$A$5:$N$281,12,0)),"")</f>
        <v/>
      </c>
      <c r="AU21" s="37" t="str">
        <f>IFERROR(IF(VLOOKUP(A21,Summary_Index!$A$5:$N$281,13,0)="","",VLOOKUP(A21,Summary_Index!$A$5:$N$281,13,0)),"")</f>
        <v/>
      </c>
      <c r="AV21" s="37" t="str">
        <f>IFERROR(IF(VLOOKUP(A21,Summary_Index!$A$5:$N$281,14,0)="","",VLOOKUP(A21,Summary_Index!$A$5:$N$281,14,0)),"")</f>
        <v/>
      </c>
    </row>
    <row r="22" spans="1:48" ht="45.6" customHeight="1" x14ac:dyDescent="0.3">
      <c r="A22" s="37">
        <f>Spatial!A22</f>
        <v>21</v>
      </c>
      <c r="B22" s="37" t="str">
        <f>Spatial!B22</f>
        <v>Namunashivanagar_WSUC</v>
      </c>
      <c r="C22" s="37" t="str">
        <f>Spatial!C22</f>
        <v>Bagmati</v>
      </c>
      <c r="D22" s="37" t="str">
        <f>Spatial!D22</f>
        <v>Chitwan District</v>
      </c>
      <c r="E22" s="37" t="str">
        <f>Spatial!E22</f>
        <v>Metropolitan</v>
      </c>
      <c r="F22" s="37" t="str">
        <f>Spatial!F22</f>
        <v>Bharatpur</v>
      </c>
      <c r="G22" s="37">
        <f>IFERROR(Spatial!G22,"")</f>
        <v>0</v>
      </c>
      <c r="H22" s="49">
        <v>27.694400000000002</v>
      </c>
      <c r="I22" s="37">
        <v>84.427800000000005</v>
      </c>
      <c r="J22" s="37" t="str">
        <f t="shared" si="0"/>
        <v>Bharatpur_Chitwan District</v>
      </c>
      <c r="K22" s="37" t="str">
        <f>IFERROR(IF(VLOOKUP(A22,'Service Coverage'!$A:$C,3,0)="","",VLOOKUP(A22,'Service Coverage'!$A:$C,3,0)),"")</f>
        <v>No</v>
      </c>
      <c r="L22" s="37">
        <f>IFERROR(IF(VLOOKUP(A22,'Service Coverage'!$A:$D,4,0)="","",VLOOKUP(A22,'Service Coverage'!$A:$D,4,0)),"")</f>
        <v>2363</v>
      </c>
      <c r="M22" s="37" t="str">
        <f>IFERROR(IF(VLOOKUP(A22,'Service Coverage'!$A:$E,5,0)="","",VLOOKUP(A22,'Service Coverage'!$A:$E,5,0)),"")</f>
        <v/>
      </c>
      <c r="N22" s="37" t="str">
        <f>IFERROR(IF(VLOOKUP(A22,'Service Coverage'!$A:$F,6,0)="","",VLOOKUP(A22,'Service Coverage'!$A:$F,6,0)),"")</f>
        <v/>
      </c>
      <c r="O22" s="37" t="str">
        <f>IFERROR(IF(VLOOKUP(A22,'Service Coverage'!$A:$G,7,0)="","",VLOOKUP(A22,'Service Coverage'!$A:$G,7,0)),"")</f>
        <v/>
      </c>
      <c r="P22" s="37" t="str">
        <f>IFERROR(IF(VLOOKUP(A22,Adequacy!$A:$C,3,0)="","",VLOOKUP(A22,Adequacy!$A:$C,3,0)),"")</f>
        <v/>
      </c>
      <c r="Q22" s="37" t="str">
        <f>IFERROR(IF(VLOOKUP(A22,Adequacy!$A:$D,4,0)="","",VLOOKUP(A22,Adequacy!$A:$D,4,0)),"")</f>
        <v/>
      </c>
      <c r="R22" s="37" t="str">
        <f>IFERROR(IF(VLOOKUP(A22,Adequacy!$A:$E,5,0)="","",VLOOKUP(A22,Adequacy!$A:$E,5,0)),"")</f>
        <v/>
      </c>
      <c r="S22" s="37" t="str">
        <f>IFERROR(IF(VLOOKUP(A22,Adequacy!$A:$G,7,0)="","",VLOOKUP(A22,Adequacy!$A:$G,7,0)),"")</f>
        <v/>
      </c>
      <c r="T22" s="37" t="str">
        <f>IFERROR(IF(VLOOKUP(A22,Adequacy!$A:$H,8,0)="","",VLOOKUP(A22,Adequacy!$A:$H,8,0)),"")</f>
        <v xml:space="preserve"> </v>
      </c>
      <c r="U22" s="37" t="str">
        <f>IFERROR(IF(VLOOKUP(A22,Adequacy!$A:$J,10,0)="","",VLOOKUP(A22,Adequacy!$A:$J,10,0)),"")</f>
        <v/>
      </c>
      <c r="V22" s="37" t="str">
        <f>IFERROR(IF(VLOOKUP(A22,'Water Quality Score'!$A:$C,3,0)="","",VLOOKUP(A22,'Water Quality Score'!$A:$C,3,0)),"")</f>
        <v>yes</v>
      </c>
      <c r="W22" s="37" t="str">
        <f>IFERROR(IF(VLOOKUP(A22,'Water Quality Score'!$A:$D,4,0)="","",VLOOKUP(A22,'Water Quality Score'!$A:$D,4,0)),"")</f>
        <v/>
      </c>
      <c r="X22" s="37" t="str">
        <f>IFERROR(IF(VLOOKUP(A22,'Water Quality Score'!$A:$E,5,0)="","",VLOOKUP(A22,'Water Quality Score'!$A:$E,5,0)),"")</f>
        <v/>
      </c>
      <c r="Y22" s="37">
        <f>IFERROR(IF(VLOOKUP(A22,'Water Quality Score'!$A:$F,6,0)="","",VLOOKUP(A22,'Water Quality Score'!$A:$F,6,0)),"")</f>
        <v>0.2</v>
      </c>
      <c r="Z22" s="37">
        <f>IFERROR(IF(VLOOKUP(A22,'Reliability score'!$A:$C,3,0)="","",VLOOKUP(A22,'Reliability score'!$A:$C,3,0)),"")</f>
        <v>24</v>
      </c>
      <c r="AA22" s="37">
        <f>IFERROR(IF(VLOOKUP(A22,'Reliability score'!$A:$D,4,0)="","",VLOOKUP(A22,'Reliability score'!$A:$D,4,0)),"")</f>
        <v>1</v>
      </c>
      <c r="AB22" s="37" t="str">
        <f>IFERROR(IF(VLOOKUP(A22,NRW!$A:$C,3,0)="","",VLOOKUP(A22,NRW!$A:$C,3,0)),"")</f>
        <v/>
      </c>
      <c r="AC22" s="37" t="str">
        <f>IFERROR(IF(VLOOKUP(A22,NRW!$A:$D,4,0)="","",VLOOKUP(A22,NRW!$A:$D,4,0)),"")</f>
        <v/>
      </c>
      <c r="AD22" s="37" t="str">
        <f>IFERROR(IF(VLOOKUP(A22,NRW!$A:$E,5,0)="","",VLOOKUP(A22,NRW!$A:$E,5,0)),"")</f>
        <v/>
      </c>
      <c r="AE22" s="37" t="str">
        <f>IFERROR(IF(VLOOKUP(A22,NRW!$A:$F,6,0)="","",VLOOKUP(A22,NRW!$A:$F,6,0)),"")</f>
        <v/>
      </c>
      <c r="AF22" s="37" t="str">
        <f>IFERROR(IF(VLOOKUP(A22,NRW!$A:$G,7,0)="","",VLOOKUP(A22,NRW!$A:$G,7,0)),"")</f>
        <v/>
      </c>
      <c r="AG22" s="37" t="str">
        <f>IFERROR(IF(OR(VLOOKUP(A22,NRW!$A:$H,8,0)="",VLOOKUP(A22,NRW!$A:$H,8,0)=0),"",VLOOKUP(A22,NRW!$A:$H,8,0)),"")</f>
        <v/>
      </c>
      <c r="AH22" s="37" t="str">
        <f>IFERROR(IF(VLOOKUP(A22,'O&amp;M score'!$A:$D,4,0)="","",VLOOKUP(A22,'O&amp;M score'!$A:$D,4,0)),"")</f>
        <v/>
      </c>
      <c r="AI22" s="37" t="str">
        <f>IFERROR(IF(VLOOKUP(A22,'O&amp;M score'!$A:$E,5,0)="","",VLOOKUP(A22,'O&amp;M score'!$A:$E,5,0)),"")</f>
        <v/>
      </c>
      <c r="AJ22" s="37" t="str">
        <f>IFERROR(IF(VLOOKUP(A22,'O&amp;M score'!$A:$F,6,0)="","",VLOOKUP(A22,'O&amp;M score'!$A:$F,6,0)),"")</f>
        <v/>
      </c>
      <c r="AK22" s="37" t="str">
        <f>IFERROR(IF(VLOOKUP(A22,'O&amp;M score'!$A:$G,7,0)="","",VLOOKUP(A22,'O&amp;M score'!$A:$G,7,0)),"")</f>
        <v/>
      </c>
      <c r="AL22" s="37">
        <f>IFERROR(IF(VLOOKUP(A22,'Metering Ratio Score'!$A:$C,3,0)="","",VLOOKUP(A22,'Metering Ratio Score'!$A:$C,3,0)),"")</f>
        <v>2363</v>
      </c>
      <c r="AM22" s="37" t="str">
        <f>IFERROR(IF(VLOOKUP(A22,'Metering Ratio Score'!$A:$D,4,0)="","",VLOOKUP(A22,'Metering Ratio Score'!$A:$D,4,0)),"")</f>
        <v/>
      </c>
      <c r="AN22" s="37" t="str">
        <f>IFERROR(IF(VLOOKUP(A22,'Metering Ratio Score'!$A:$E,5,0)="","",VLOOKUP(A22,'Metering Ratio Score'!$A:$E,5,0)),"")</f>
        <v/>
      </c>
      <c r="AO22" s="37" t="str">
        <f>IFERROR(IF(VLOOKUP(A22,'Metering Ratio Score'!$A:$F,6,0)="","",VLOOKUP(A22,'Metering Ratio Score'!$A:$F,6,0)),"")</f>
        <v/>
      </c>
      <c r="AP22" s="37" t="str">
        <f>IFERROR(IF(VLOOKUP(A22,'Grievance Addressal'!$A:$C,3,0)="","",VLOOKUP(A22,'Grievance Addressal'!$A:$C,3,0)),"")</f>
        <v/>
      </c>
      <c r="AQ22" s="37" t="str">
        <f>IFERROR(IF(VLOOKUP(A22,'Grievance Addressal'!$A:$D,4,0)="","",VLOOKUP(A22,'Grievance Addressal'!$A:$D,4,0)),"")</f>
        <v>No</v>
      </c>
      <c r="AR22" s="37" t="str">
        <f>IFERROR(IF(VLOOKUP(A22,'Grievance Addressal'!$A:$E,5,0)="","",VLOOKUP(A22,'Grievance Addressal'!$A:$E,5,0)),"")</f>
        <v xml:space="preserve"> </v>
      </c>
      <c r="AS22" s="37" t="str">
        <f>IFERROR(IF(VLOOKUP(A22,Summary_Index!$A$5:$N$281,7,0)="","",VLOOKUP(A22,Summary_Index!$A$5:$N$281,7,0)),"")</f>
        <v/>
      </c>
      <c r="AT22" s="37" t="str">
        <f>IFERROR(IF(VLOOKUP(A22,Summary_Index!$A$5:$N$281,12,0)="","",VLOOKUP(A22,Summary_Index!$A$5:$N$281,12,0)),"")</f>
        <v/>
      </c>
      <c r="AU22" s="37" t="str">
        <f>IFERROR(IF(VLOOKUP(A22,Summary_Index!$A$5:$N$281,13,0)="","",VLOOKUP(A22,Summary_Index!$A$5:$N$281,13,0)),"")</f>
        <v/>
      </c>
      <c r="AV22" s="37" t="str">
        <f>IFERROR(IF(VLOOKUP(A22,Summary_Index!$A$5:$N$281,14,0)="","",VLOOKUP(A22,Summary_Index!$A$5:$N$281,14,0)),"")</f>
        <v/>
      </c>
    </row>
    <row r="23" spans="1:48" ht="45.6" customHeight="1" x14ac:dyDescent="0.3">
      <c r="A23" s="37">
        <f>Spatial!A23</f>
        <v>22</v>
      </c>
      <c r="B23" s="37" t="str">
        <f>Spatial!B23</f>
        <v>Gaidakot_Pumping_WSUC</v>
      </c>
      <c r="C23" s="37" t="str">
        <f>Spatial!C23</f>
        <v>Bagmati</v>
      </c>
      <c r="D23" s="37" t="str">
        <f>Spatial!D23</f>
        <v>Nawalpur District</v>
      </c>
      <c r="E23" s="37" t="str">
        <f>Spatial!E23</f>
        <v>Municipality</v>
      </c>
      <c r="F23" s="37" t="str">
        <f>Spatial!F23</f>
        <v>Gaidakot</v>
      </c>
      <c r="G23" s="37">
        <f>IFERROR(Spatial!G23,"")</f>
        <v>0</v>
      </c>
      <c r="H23" s="50">
        <v>27.683299999999999</v>
      </c>
      <c r="I23" s="37">
        <v>84.283299999999997</v>
      </c>
      <c r="J23" s="37" t="str">
        <f t="shared" si="0"/>
        <v>Gaidakot_Nawalpur District</v>
      </c>
      <c r="K23" s="37" t="str">
        <f>IFERROR(IF(VLOOKUP(A23,'Service Coverage'!$A:$C,3,0)="","",VLOOKUP(A23,'Service Coverage'!$A:$C,3,0)),"")</f>
        <v>No</v>
      </c>
      <c r="L23" s="37">
        <f>IFERROR(IF(VLOOKUP(A23,'Service Coverage'!$A:$D,4,0)="","",VLOOKUP(A23,'Service Coverage'!$A:$D,4,0)),"")</f>
        <v>7000</v>
      </c>
      <c r="M23" s="37" t="str">
        <f>IFERROR(IF(VLOOKUP(A23,'Service Coverage'!$A:$E,5,0)="","",VLOOKUP(A23,'Service Coverage'!$A:$E,5,0)),"")</f>
        <v/>
      </c>
      <c r="N23" s="37" t="str">
        <f>IFERROR(IF(VLOOKUP(A23,'Service Coverage'!$A:$F,6,0)="","",VLOOKUP(A23,'Service Coverage'!$A:$F,6,0)),"")</f>
        <v/>
      </c>
      <c r="O23" s="37" t="str">
        <f>IFERROR(IF(VLOOKUP(A23,'Service Coverage'!$A:$G,7,0)="","",VLOOKUP(A23,'Service Coverage'!$A:$G,7,0)),"")</f>
        <v/>
      </c>
      <c r="P23" s="37" t="str">
        <f>IFERROR(IF(VLOOKUP(A23,Adequacy!$A:$C,3,0)="","",VLOOKUP(A23,Adequacy!$A:$C,3,0)),"")</f>
        <v/>
      </c>
      <c r="Q23" s="37" t="str">
        <f>IFERROR(IF(VLOOKUP(A23,Adequacy!$A:$D,4,0)="","",VLOOKUP(A23,Adequacy!$A:$D,4,0)),"")</f>
        <v/>
      </c>
      <c r="R23" s="37" t="str">
        <f>IFERROR(IF(VLOOKUP(A23,Adequacy!$A:$E,5,0)="","",VLOOKUP(A23,Adequacy!$A:$E,5,0)),"")</f>
        <v/>
      </c>
      <c r="S23" s="37" t="str">
        <f>IFERROR(IF(VLOOKUP(A23,Adequacy!$A:$G,7,0)="","",VLOOKUP(A23,Adequacy!$A:$G,7,0)),"")</f>
        <v/>
      </c>
      <c r="T23" s="37" t="str">
        <f>IFERROR(IF(VLOOKUP(A23,Adequacy!$A:$H,8,0)="","",VLOOKUP(A23,Adequacy!$A:$H,8,0)),"")</f>
        <v xml:space="preserve"> </v>
      </c>
      <c r="U23" s="37" t="str">
        <f>IFERROR(IF(VLOOKUP(A23,Adequacy!$A:$J,10,0)="","",VLOOKUP(A23,Adequacy!$A:$J,10,0)),"")</f>
        <v/>
      </c>
      <c r="V23" s="37" t="str">
        <f>IFERROR(IF(VLOOKUP(A23,'Water Quality Score'!$A:$C,3,0)="","",VLOOKUP(A23,'Water Quality Score'!$A:$C,3,0)),"")</f>
        <v>yes</v>
      </c>
      <c r="W23" s="37" t="str">
        <f>IFERROR(IF(VLOOKUP(A23,'Water Quality Score'!$A:$D,4,0)="","",VLOOKUP(A23,'Water Quality Score'!$A:$D,4,0)),"")</f>
        <v/>
      </c>
      <c r="X23" s="37" t="str">
        <f>IFERROR(IF(VLOOKUP(A23,'Water Quality Score'!$A:$E,5,0)="","",VLOOKUP(A23,'Water Quality Score'!$A:$E,5,0)),"")</f>
        <v/>
      </c>
      <c r="Y23" s="37">
        <f>IFERROR(IF(VLOOKUP(A23,'Water Quality Score'!$A:$F,6,0)="","",VLOOKUP(A23,'Water Quality Score'!$A:$F,6,0)),"")</f>
        <v>0.2</v>
      </c>
      <c r="Z23" s="37">
        <f>IFERROR(IF(VLOOKUP(A23,'Reliability score'!$A:$C,3,0)="","",VLOOKUP(A23,'Reliability score'!$A:$C,3,0)),"")</f>
        <v>24</v>
      </c>
      <c r="AA23" s="37">
        <f>IFERROR(IF(VLOOKUP(A23,'Reliability score'!$A:$D,4,0)="","",VLOOKUP(A23,'Reliability score'!$A:$D,4,0)),"")</f>
        <v>1</v>
      </c>
      <c r="AB23" s="37" t="str">
        <f>IFERROR(IF(VLOOKUP(A23,NRW!$A:$C,3,0)="","",VLOOKUP(A23,NRW!$A:$C,3,0)),"")</f>
        <v/>
      </c>
      <c r="AC23" s="37" t="str">
        <f>IFERROR(IF(VLOOKUP(A23,NRW!$A:$D,4,0)="","",VLOOKUP(A23,NRW!$A:$D,4,0)),"")</f>
        <v/>
      </c>
      <c r="AD23" s="37" t="str">
        <f>IFERROR(IF(VLOOKUP(A23,NRW!$A:$E,5,0)="","",VLOOKUP(A23,NRW!$A:$E,5,0)),"")</f>
        <v/>
      </c>
      <c r="AE23" s="37" t="str">
        <f>IFERROR(IF(VLOOKUP(A23,NRW!$A:$F,6,0)="","",VLOOKUP(A23,NRW!$A:$F,6,0)),"")</f>
        <v/>
      </c>
      <c r="AF23" s="37" t="str">
        <f>IFERROR(IF(VLOOKUP(A23,NRW!$A:$G,7,0)="","",VLOOKUP(A23,NRW!$A:$G,7,0)),"")</f>
        <v/>
      </c>
      <c r="AG23" s="37" t="str">
        <f>IFERROR(IF(OR(VLOOKUP(A23,NRW!$A:$H,8,0)="",VLOOKUP(A23,NRW!$A:$H,8,0)=0),"",VLOOKUP(A23,NRW!$A:$H,8,0)),"")</f>
        <v/>
      </c>
      <c r="AH23" s="37">
        <f>IFERROR(IF(VLOOKUP(A23,'O&amp;M score'!$A:$D,4,0)="","",VLOOKUP(A23,'O&amp;M score'!$A:$D,4,0)),"")</f>
        <v>30329000</v>
      </c>
      <c r="AI23" s="37">
        <f>IFERROR(IF(VLOOKUP(A23,'O&amp;M score'!$A:$E,5,0)="","",VLOOKUP(A23,'O&amp;M score'!$A:$E,5,0)),"")</f>
        <v>33951000</v>
      </c>
      <c r="AJ23" s="37">
        <f>IFERROR(IF(VLOOKUP(A23,'O&amp;M score'!$A:$F,6,0)="","",VLOOKUP(A23,'O&amp;M score'!$A:$F,6,0)),"")</f>
        <v>0.8933168389738152</v>
      </c>
      <c r="AK23" s="37">
        <f>IFERROR(IF(VLOOKUP(A23,'O&amp;M score'!$A:$G,7,0)="","",VLOOKUP(A23,'O&amp;M score'!$A:$G,7,0)),"")</f>
        <v>0.61336632205236952</v>
      </c>
      <c r="AL23" s="37">
        <f>IFERROR(IF(VLOOKUP(A23,'Metering Ratio Score'!$A:$C,3,0)="","",VLOOKUP(A23,'Metering Ratio Score'!$A:$C,3,0)),"")</f>
        <v>7000</v>
      </c>
      <c r="AM23" s="37" t="str">
        <f>IFERROR(IF(VLOOKUP(A23,'Metering Ratio Score'!$A:$D,4,0)="","",VLOOKUP(A23,'Metering Ratio Score'!$A:$D,4,0)),"")</f>
        <v/>
      </c>
      <c r="AN23" s="37" t="str">
        <f>IFERROR(IF(VLOOKUP(A23,'Metering Ratio Score'!$A:$E,5,0)="","",VLOOKUP(A23,'Metering Ratio Score'!$A:$E,5,0)),"")</f>
        <v/>
      </c>
      <c r="AO23" s="37" t="str">
        <f>IFERROR(IF(VLOOKUP(A23,'Metering Ratio Score'!$A:$F,6,0)="","",VLOOKUP(A23,'Metering Ratio Score'!$A:$F,6,0)),"")</f>
        <v/>
      </c>
      <c r="AP23" s="37" t="str">
        <f>IFERROR(IF(VLOOKUP(A23,'Grievance Addressal'!$A:$C,3,0)="","",VLOOKUP(A23,'Grievance Addressal'!$A:$C,3,0)),"")</f>
        <v/>
      </c>
      <c r="AQ23" s="37" t="str">
        <f>IFERROR(IF(VLOOKUP(A23,'Grievance Addressal'!$A:$D,4,0)="","",VLOOKUP(A23,'Grievance Addressal'!$A:$D,4,0)),"")</f>
        <v>No</v>
      </c>
      <c r="AR23" s="37" t="str">
        <f>IFERROR(IF(VLOOKUP(A23,'Grievance Addressal'!$A:$E,5,0)="","",VLOOKUP(A23,'Grievance Addressal'!$A:$E,5,0)),"")</f>
        <v xml:space="preserve"> </v>
      </c>
      <c r="AS23" s="37" t="str">
        <f>IFERROR(IF(VLOOKUP(A23,Summary_Index!$A$5:$N$281,7,0)="","",VLOOKUP(A23,Summary_Index!$A$5:$N$281,7,0)),"")</f>
        <v/>
      </c>
      <c r="AT23" s="37" t="str">
        <f>IFERROR(IF(VLOOKUP(A23,Summary_Index!$A$5:$N$281,12,0)="","",VLOOKUP(A23,Summary_Index!$A$5:$N$281,12,0)),"")</f>
        <v/>
      </c>
      <c r="AU23" s="37" t="str">
        <f>IFERROR(IF(VLOOKUP(A23,Summary_Index!$A$5:$N$281,13,0)="","",VLOOKUP(A23,Summary_Index!$A$5:$N$281,13,0)),"")</f>
        <v/>
      </c>
      <c r="AV23" s="37" t="str">
        <f>IFERROR(IF(VLOOKUP(A23,Summary_Index!$A$5:$N$281,14,0)="","",VLOOKUP(A23,Summary_Index!$A$5:$N$281,14,0)),"")</f>
        <v/>
      </c>
    </row>
    <row r="24" spans="1:48" ht="45.6" customHeight="1" x14ac:dyDescent="0.3">
      <c r="A24" s="37">
        <f>Spatial!A24</f>
        <v>23</v>
      </c>
      <c r="B24" s="37" t="str">
        <f>Spatial!B24</f>
        <v>Amarapuri_WSUC</v>
      </c>
      <c r="C24" s="37" t="str">
        <f>Spatial!C24</f>
        <v>Bagmati</v>
      </c>
      <c r="D24" s="37" t="str">
        <f>Spatial!D24</f>
        <v>Nawalpur District</v>
      </c>
      <c r="E24" s="37" t="str">
        <f>Spatial!E24</f>
        <v>Municipality</v>
      </c>
      <c r="F24" s="37" t="str">
        <f>Spatial!F24</f>
        <v>Gaidakot</v>
      </c>
      <c r="G24" s="37">
        <f>IFERROR(Spatial!G24,"")</f>
        <v>0</v>
      </c>
      <c r="H24" s="49">
        <v>27.666699999999999</v>
      </c>
      <c r="I24" s="37">
        <v>84.2667</v>
      </c>
      <c r="J24" s="37" t="str">
        <f t="shared" si="0"/>
        <v>Gaidakot_Nawalpur District</v>
      </c>
      <c r="K24" s="37" t="str">
        <f>IFERROR(IF(VLOOKUP(A24,'Service Coverage'!$A:$C,3,0)="","",VLOOKUP(A24,'Service Coverage'!$A:$C,3,0)),"")</f>
        <v>No</v>
      </c>
      <c r="L24" s="37">
        <f>IFERROR(IF(VLOOKUP(A24,'Service Coverage'!$A:$D,4,0)="","",VLOOKUP(A24,'Service Coverage'!$A:$D,4,0)),"")</f>
        <v>2385</v>
      </c>
      <c r="M24" s="37" t="str">
        <f>IFERROR(IF(VLOOKUP(A24,'Service Coverage'!$A:$E,5,0)="","",VLOOKUP(A24,'Service Coverage'!$A:$E,5,0)),"")</f>
        <v/>
      </c>
      <c r="N24" s="37" t="str">
        <f>IFERROR(IF(VLOOKUP(A24,'Service Coverage'!$A:$F,6,0)="","",VLOOKUP(A24,'Service Coverage'!$A:$F,6,0)),"")</f>
        <v/>
      </c>
      <c r="O24" s="37" t="str">
        <f>IFERROR(IF(VLOOKUP(A24,'Service Coverage'!$A:$G,7,0)="","",VLOOKUP(A24,'Service Coverage'!$A:$G,7,0)),"")</f>
        <v/>
      </c>
      <c r="P24" s="37" t="str">
        <f>IFERROR(IF(VLOOKUP(A24,Adequacy!$A:$C,3,0)="","",VLOOKUP(A24,Adequacy!$A:$C,3,0)),"")</f>
        <v/>
      </c>
      <c r="Q24" s="37" t="str">
        <f>IFERROR(IF(VLOOKUP(A24,Adequacy!$A:$D,4,0)="","",VLOOKUP(A24,Adequacy!$A:$D,4,0)),"")</f>
        <v/>
      </c>
      <c r="R24" s="37" t="str">
        <f>IFERROR(IF(VLOOKUP(A24,Adequacy!$A:$E,5,0)="","",VLOOKUP(A24,Adequacy!$A:$E,5,0)),"")</f>
        <v/>
      </c>
      <c r="S24" s="37" t="str">
        <f>IFERROR(IF(VLOOKUP(A24,Adequacy!$A:$G,7,0)="","",VLOOKUP(A24,Adequacy!$A:$G,7,0)),"")</f>
        <v/>
      </c>
      <c r="T24" s="37" t="str">
        <f>IFERROR(IF(VLOOKUP(A24,Adequacy!$A:$H,8,0)="","",VLOOKUP(A24,Adequacy!$A:$H,8,0)),"")</f>
        <v xml:space="preserve"> </v>
      </c>
      <c r="U24" s="37" t="str">
        <f>IFERROR(IF(VLOOKUP(A24,Adequacy!$A:$J,10,0)="","",VLOOKUP(A24,Adequacy!$A:$J,10,0)),"")</f>
        <v/>
      </c>
      <c r="V24" s="37" t="str">
        <f>IFERROR(IF(VLOOKUP(A24,'Water Quality Score'!$A:$C,3,0)="","",VLOOKUP(A24,'Water Quality Score'!$A:$C,3,0)),"")</f>
        <v>yes</v>
      </c>
      <c r="W24" s="37" t="str">
        <f>IFERROR(IF(VLOOKUP(A24,'Water Quality Score'!$A:$D,4,0)="","",VLOOKUP(A24,'Water Quality Score'!$A:$D,4,0)),"")</f>
        <v/>
      </c>
      <c r="X24" s="37" t="str">
        <f>IFERROR(IF(VLOOKUP(A24,'Water Quality Score'!$A:$E,5,0)="","",VLOOKUP(A24,'Water Quality Score'!$A:$E,5,0)),"")</f>
        <v/>
      </c>
      <c r="Y24" s="37">
        <f>IFERROR(IF(VLOOKUP(A24,'Water Quality Score'!$A:$F,6,0)="","",VLOOKUP(A24,'Water Quality Score'!$A:$F,6,0)),"")</f>
        <v>0.2</v>
      </c>
      <c r="Z24" s="37">
        <f>IFERROR(IF(VLOOKUP(A24,'Reliability score'!$A:$C,3,0)="","",VLOOKUP(A24,'Reliability score'!$A:$C,3,0)),"")</f>
        <v>24</v>
      </c>
      <c r="AA24" s="37">
        <f>IFERROR(IF(VLOOKUP(A24,'Reliability score'!$A:$D,4,0)="","",VLOOKUP(A24,'Reliability score'!$A:$D,4,0)),"")</f>
        <v>1</v>
      </c>
      <c r="AB24" s="37" t="str">
        <f>IFERROR(IF(VLOOKUP(A24,NRW!$A:$C,3,0)="","",VLOOKUP(A24,NRW!$A:$C,3,0)),"")</f>
        <v/>
      </c>
      <c r="AC24" s="37" t="str">
        <f>IFERROR(IF(VLOOKUP(A24,NRW!$A:$D,4,0)="","",VLOOKUP(A24,NRW!$A:$D,4,0)),"")</f>
        <v/>
      </c>
      <c r="AD24" s="37" t="str">
        <f>IFERROR(IF(VLOOKUP(A24,NRW!$A:$E,5,0)="","",VLOOKUP(A24,NRW!$A:$E,5,0)),"")</f>
        <v/>
      </c>
      <c r="AE24" s="37" t="str">
        <f>IFERROR(IF(VLOOKUP(A24,NRW!$A:$F,6,0)="","",VLOOKUP(A24,NRW!$A:$F,6,0)),"")</f>
        <v/>
      </c>
      <c r="AF24" s="37" t="str">
        <f>IFERROR(IF(VLOOKUP(A24,NRW!$A:$G,7,0)="","",VLOOKUP(A24,NRW!$A:$G,7,0)),"")</f>
        <v/>
      </c>
      <c r="AG24" s="37" t="str">
        <f>IFERROR(IF(OR(VLOOKUP(A24,NRW!$A:$H,8,0)="",VLOOKUP(A24,NRW!$A:$H,8,0)=0),"",VLOOKUP(A24,NRW!$A:$H,8,0)),"")</f>
        <v/>
      </c>
      <c r="AH24" s="37" t="str">
        <f>IFERROR(IF(VLOOKUP(A24,'O&amp;M score'!$A:$D,4,0)="","",VLOOKUP(A24,'O&amp;M score'!$A:$D,4,0)),"")</f>
        <v/>
      </c>
      <c r="AI24" s="37" t="str">
        <f>IFERROR(IF(VLOOKUP(A24,'O&amp;M score'!$A:$E,5,0)="","",VLOOKUP(A24,'O&amp;M score'!$A:$E,5,0)),"")</f>
        <v/>
      </c>
      <c r="AJ24" s="37" t="str">
        <f>IFERROR(IF(VLOOKUP(A24,'O&amp;M score'!$A:$F,6,0)="","",VLOOKUP(A24,'O&amp;M score'!$A:$F,6,0)),"")</f>
        <v/>
      </c>
      <c r="AK24" s="37" t="str">
        <f>IFERROR(IF(VLOOKUP(A24,'O&amp;M score'!$A:$G,7,0)="","",VLOOKUP(A24,'O&amp;M score'!$A:$G,7,0)),"")</f>
        <v/>
      </c>
      <c r="AL24" s="37">
        <f>IFERROR(IF(VLOOKUP(A24,'Metering Ratio Score'!$A:$C,3,0)="","",VLOOKUP(A24,'Metering Ratio Score'!$A:$C,3,0)),"")</f>
        <v>2380</v>
      </c>
      <c r="AM24" s="37" t="str">
        <f>IFERROR(IF(VLOOKUP(A24,'Metering Ratio Score'!$A:$D,4,0)="","",VLOOKUP(A24,'Metering Ratio Score'!$A:$D,4,0)),"")</f>
        <v/>
      </c>
      <c r="AN24" s="37" t="str">
        <f>IFERROR(IF(VLOOKUP(A24,'Metering Ratio Score'!$A:$E,5,0)="","",VLOOKUP(A24,'Metering Ratio Score'!$A:$E,5,0)),"")</f>
        <v/>
      </c>
      <c r="AO24" s="37" t="str">
        <f>IFERROR(IF(VLOOKUP(A24,'Metering Ratio Score'!$A:$F,6,0)="","",VLOOKUP(A24,'Metering Ratio Score'!$A:$F,6,0)),"")</f>
        <v/>
      </c>
      <c r="AP24" s="37" t="str">
        <f>IFERROR(IF(VLOOKUP(A24,'Grievance Addressal'!$A:$C,3,0)="","",VLOOKUP(A24,'Grievance Addressal'!$A:$C,3,0)),"")</f>
        <v/>
      </c>
      <c r="AQ24" s="37" t="str">
        <f>IFERROR(IF(VLOOKUP(A24,'Grievance Addressal'!$A:$D,4,0)="","",VLOOKUP(A24,'Grievance Addressal'!$A:$D,4,0)),"")</f>
        <v>No</v>
      </c>
      <c r="AR24" s="37" t="str">
        <f>IFERROR(IF(VLOOKUP(A24,'Grievance Addressal'!$A:$E,5,0)="","",VLOOKUP(A24,'Grievance Addressal'!$A:$E,5,0)),"")</f>
        <v xml:space="preserve"> </v>
      </c>
      <c r="AS24" s="37" t="str">
        <f>IFERROR(IF(VLOOKUP(A24,Summary_Index!$A$5:$N$281,7,0)="","",VLOOKUP(A24,Summary_Index!$A$5:$N$281,7,0)),"")</f>
        <v/>
      </c>
      <c r="AT24" s="37" t="str">
        <f>IFERROR(IF(VLOOKUP(A24,Summary_Index!$A$5:$N$281,12,0)="","",VLOOKUP(A24,Summary_Index!$A$5:$N$281,12,0)),"")</f>
        <v/>
      </c>
      <c r="AU24" s="37" t="str">
        <f>IFERROR(IF(VLOOKUP(A24,Summary_Index!$A$5:$N$281,13,0)="","",VLOOKUP(A24,Summary_Index!$A$5:$N$281,13,0)),"")</f>
        <v/>
      </c>
      <c r="AV24" s="37" t="str">
        <f>IFERROR(IF(VLOOKUP(A24,Summary_Index!$A$5:$N$281,14,0)="","",VLOOKUP(A24,Summary_Index!$A$5:$N$281,14,0)),"")</f>
        <v/>
      </c>
    </row>
    <row r="25" spans="1:48" ht="45.6" customHeight="1" x14ac:dyDescent="0.3">
      <c r="A25" s="37">
        <f>Spatial!A25</f>
        <v>24</v>
      </c>
      <c r="B25" s="37" t="str">
        <f>Spatial!B25</f>
        <v>Jwalamukhi Rural Water Sanitation and Hygine Management Board</v>
      </c>
      <c r="C25" s="37" t="str">
        <f>Spatial!C25</f>
        <v>Bagmati</v>
      </c>
      <c r="D25" s="37" t="str">
        <f>Spatial!D25</f>
        <v>Dhading District</v>
      </c>
      <c r="E25" s="37" t="str">
        <f>Spatial!E25</f>
        <v>Rural municipality</v>
      </c>
      <c r="F25" s="37" t="str">
        <f>Spatial!F25</f>
        <v>Jwalamukhi</v>
      </c>
      <c r="G25" s="37">
        <f>IFERROR(Spatial!G25,"")</f>
        <v>0</v>
      </c>
      <c r="H25" s="50">
        <v>27.916699999999999</v>
      </c>
      <c r="I25" s="37">
        <v>84.833299999999994</v>
      </c>
      <c r="J25" s="37" t="str">
        <f t="shared" si="0"/>
        <v>Jwalamukhi_Dhading District</v>
      </c>
      <c r="K25" s="37" t="str">
        <f>IFERROR(IF(VLOOKUP(A25,'Service Coverage'!$A:$C,3,0)="","",VLOOKUP(A25,'Service Coverage'!$A:$C,3,0)),"")</f>
        <v>Yes</v>
      </c>
      <c r="L25" s="37">
        <f>IFERROR(IF(VLOOKUP(A25,'Service Coverage'!$A:$D,4,0)="","",VLOOKUP(A25,'Service Coverage'!$A:$D,4,0)),"")</f>
        <v>2751</v>
      </c>
      <c r="M25" s="37" t="str">
        <f>IFERROR(IF(VLOOKUP(A25,'Service Coverage'!$A:$E,5,0)="","",VLOOKUP(A25,'Service Coverage'!$A:$E,5,0)),"")</f>
        <v/>
      </c>
      <c r="N25" s="37" t="str">
        <f>IFERROR(IF(VLOOKUP(A25,'Service Coverage'!$A:$F,6,0)="","",VLOOKUP(A25,'Service Coverage'!$A:$F,6,0)),"")</f>
        <v/>
      </c>
      <c r="O25" s="37" t="str">
        <f>IFERROR(IF(VLOOKUP(A25,'Service Coverage'!$A:$G,7,0)="","",VLOOKUP(A25,'Service Coverage'!$A:$G,7,0)),"")</f>
        <v/>
      </c>
      <c r="P25" s="37" t="str">
        <f>IFERROR(IF(VLOOKUP(A25,Adequacy!$A:$C,3,0)="","",VLOOKUP(A25,Adequacy!$A:$C,3,0)),"")</f>
        <v/>
      </c>
      <c r="Q25" s="37" t="str">
        <f>IFERROR(IF(VLOOKUP(A25,Adequacy!$A:$D,4,0)="","",VLOOKUP(A25,Adequacy!$A:$D,4,0)),"")</f>
        <v/>
      </c>
      <c r="R25" s="37" t="str">
        <f>IFERROR(IF(VLOOKUP(A25,Adequacy!$A:$E,5,0)="","",VLOOKUP(A25,Adequacy!$A:$E,5,0)),"")</f>
        <v/>
      </c>
      <c r="S25" s="37" t="str">
        <f>IFERROR(IF(VLOOKUP(A25,Adequacy!$A:$G,7,0)="","",VLOOKUP(A25,Adequacy!$A:$G,7,0)),"")</f>
        <v/>
      </c>
      <c r="T25" s="37" t="str">
        <f>IFERROR(IF(VLOOKUP(A25,Adequacy!$A:$H,8,0)="","",VLOOKUP(A25,Adequacy!$A:$H,8,0)),"")</f>
        <v xml:space="preserve"> </v>
      </c>
      <c r="U25" s="37" t="str">
        <f>IFERROR(IF(VLOOKUP(A25,Adequacy!$A:$J,10,0)="","",VLOOKUP(A25,Adequacy!$A:$J,10,0)),"")</f>
        <v/>
      </c>
      <c r="V25" s="37" t="str">
        <f>IFERROR(IF(VLOOKUP(A25,'Water Quality Score'!$A:$C,3,0)="","",VLOOKUP(A25,'Water Quality Score'!$A:$C,3,0)),"")</f>
        <v>yes</v>
      </c>
      <c r="W25" s="37" t="str">
        <f>IFERROR(IF(VLOOKUP(A25,'Water Quality Score'!$A:$D,4,0)="","",VLOOKUP(A25,'Water Quality Score'!$A:$D,4,0)),"")</f>
        <v/>
      </c>
      <c r="X25" s="37" t="str">
        <f>IFERROR(IF(VLOOKUP(A25,'Water Quality Score'!$A:$E,5,0)="","",VLOOKUP(A25,'Water Quality Score'!$A:$E,5,0)),"")</f>
        <v/>
      </c>
      <c r="Y25" s="37">
        <f>IFERROR(IF(VLOOKUP(A25,'Water Quality Score'!$A:$F,6,0)="","",VLOOKUP(A25,'Water Quality Score'!$A:$F,6,0)),"")</f>
        <v>0.2</v>
      </c>
      <c r="Z25" s="37">
        <f>IFERROR(IF(VLOOKUP(A25,'Reliability score'!$A:$C,3,0)="","",VLOOKUP(A25,'Reliability score'!$A:$C,3,0)),"")</f>
        <v>24</v>
      </c>
      <c r="AA25" s="37">
        <f>IFERROR(IF(VLOOKUP(A25,'Reliability score'!$A:$D,4,0)="","",VLOOKUP(A25,'Reliability score'!$A:$D,4,0)),"")</f>
        <v>1</v>
      </c>
      <c r="AB25" s="37" t="str">
        <f>IFERROR(IF(VLOOKUP(A25,NRW!$A:$C,3,0)="","",VLOOKUP(A25,NRW!$A:$C,3,0)),"")</f>
        <v/>
      </c>
      <c r="AC25" s="37" t="str">
        <f>IFERROR(IF(VLOOKUP(A25,NRW!$A:$D,4,0)="","",VLOOKUP(A25,NRW!$A:$D,4,0)),"")</f>
        <v/>
      </c>
      <c r="AD25" s="37" t="str">
        <f>IFERROR(IF(VLOOKUP(A25,NRW!$A:$E,5,0)="","",VLOOKUP(A25,NRW!$A:$E,5,0)),"")</f>
        <v/>
      </c>
      <c r="AE25" s="37" t="str">
        <f>IFERROR(IF(VLOOKUP(A25,NRW!$A:$F,6,0)="","",VLOOKUP(A25,NRW!$A:$F,6,0)),"")</f>
        <v/>
      </c>
      <c r="AF25" s="37" t="str">
        <f>IFERROR(IF(VLOOKUP(A25,NRW!$A:$G,7,0)="","",VLOOKUP(A25,NRW!$A:$G,7,0)),"")</f>
        <v/>
      </c>
      <c r="AG25" s="37" t="str">
        <f>IFERROR(IF(OR(VLOOKUP(A25,NRW!$A:$H,8,0)="",VLOOKUP(A25,NRW!$A:$H,8,0)=0),"",VLOOKUP(A25,NRW!$A:$H,8,0)),"")</f>
        <v/>
      </c>
      <c r="AH25" s="37">
        <f>IFERROR(IF(VLOOKUP(A25,'O&amp;M score'!$A:$D,4,0)="","",VLOOKUP(A25,'O&amp;M score'!$A:$D,4,0)),"")</f>
        <v>32645000</v>
      </c>
      <c r="AI25" s="37">
        <f>IFERROR(IF(VLOOKUP(A25,'O&amp;M score'!$A:$E,5,0)="","",VLOOKUP(A25,'O&amp;M score'!$A:$E,5,0)),"")</f>
        <v>42273000</v>
      </c>
      <c r="AJ25" s="37">
        <f>IFERROR(IF(VLOOKUP(A25,'O&amp;M score'!$A:$F,6,0)="","",VLOOKUP(A25,'O&amp;M score'!$A:$F,6,0)),"")</f>
        <v>0.77224232961937878</v>
      </c>
      <c r="AK25" s="37">
        <f>IFERROR(IF(VLOOKUP(A25,'O&amp;M score'!$A:$G,7,0)="","",VLOOKUP(A25,'O&amp;M score'!$A:$G,7,0)),"")</f>
        <v>0.85551534076124236</v>
      </c>
      <c r="AL25" s="37">
        <f>IFERROR(IF(VLOOKUP(A25,'Metering Ratio Score'!$A:$C,3,0)="","",VLOOKUP(A25,'Metering Ratio Score'!$A:$C,3,0)),"")</f>
        <v>2751</v>
      </c>
      <c r="AM25" s="37" t="str">
        <f>IFERROR(IF(VLOOKUP(A25,'Metering Ratio Score'!$A:$D,4,0)="","",VLOOKUP(A25,'Metering Ratio Score'!$A:$D,4,0)),"")</f>
        <v/>
      </c>
      <c r="AN25" s="37" t="str">
        <f>IFERROR(IF(VLOOKUP(A25,'Metering Ratio Score'!$A:$E,5,0)="","",VLOOKUP(A25,'Metering Ratio Score'!$A:$E,5,0)),"")</f>
        <v/>
      </c>
      <c r="AO25" s="37" t="str">
        <f>IFERROR(IF(VLOOKUP(A25,'Metering Ratio Score'!$A:$F,6,0)="","",VLOOKUP(A25,'Metering Ratio Score'!$A:$F,6,0)),"")</f>
        <v/>
      </c>
      <c r="AP25" s="37" t="str">
        <f>IFERROR(IF(VLOOKUP(A25,'Grievance Addressal'!$A:$C,3,0)="","",VLOOKUP(A25,'Grievance Addressal'!$A:$C,3,0)),"")</f>
        <v/>
      </c>
      <c r="AQ25" s="37" t="str">
        <f>IFERROR(IF(VLOOKUP(A25,'Grievance Addressal'!$A:$D,4,0)="","",VLOOKUP(A25,'Grievance Addressal'!$A:$D,4,0)),"")</f>
        <v>yes</v>
      </c>
      <c r="AR25" s="37" t="str">
        <f>IFERROR(IF(VLOOKUP(A25,'Grievance Addressal'!$A:$E,5,0)="","",VLOOKUP(A25,'Grievance Addressal'!$A:$E,5,0)),"")</f>
        <v xml:space="preserve"> </v>
      </c>
      <c r="AS25" s="37" t="str">
        <f>IFERROR(IF(VLOOKUP(A25,Summary_Index!$A$5:$N$281,7,0)="","",VLOOKUP(A25,Summary_Index!$A$5:$N$281,7,0)),"")</f>
        <v/>
      </c>
      <c r="AT25" s="37" t="str">
        <f>IFERROR(IF(VLOOKUP(A25,Summary_Index!$A$5:$N$281,12,0)="","",VLOOKUP(A25,Summary_Index!$A$5:$N$281,12,0)),"")</f>
        <v/>
      </c>
      <c r="AU25" s="37" t="str">
        <f>IFERROR(IF(VLOOKUP(A25,Summary_Index!$A$5:$N$281,13,0)="","",VLOOKUP(A25,Summary_Index!$A$5:$N$281,13,0)),"")</f>
        <v/>
      </c>
      <c r="AV25" s="37" t="str">
        <f>IFERROR(IF(VLOOKUP(A25,Summary_Index!$A$5:$N$281,14,0)="","",VLOOKUP(A25,Summary_Index!$A$5:$N$281,14,0)),"")</f>
        <v/>
      </c>
    </row>
    <row r="26" spans="1:48" ht="45.6" customHeight="1" x14ac:dyDescent="0.3">
      <c r="A26" s="37">
        <f>Spatial!A26</f>
        <v>25</v>
      </c>
      <c r="B26" s="37" t="str">
        <f>Spatial!B26</f>
        <v>Mulkhola_Thakre_WSUC</v>
      </c>
      <c r="C26" s="37" t="str">
        <f>Spatial!C26</f>
        <v>Bagmati</v>
      </c>
      <c r="D26" s="37" t="str">
        <f>Spatial!D26</f>
        <v>Dhading District</v>
      </c>
      <c r="E26" s="37" t="str">
        <f>Spatial!E26</f>
        <v>Rural municipality</v>
      </c>
      <c r="F26" s="37" t="str">
        <f>Spatial!F26</f>
        <v>Thakre</v>
      </c>
      <c r="G26" s="37">
        <f>IFERROR(Spatial!G26,"")</f>
        <v>0</v>
      </c>
      <c r="H26" s="49">
        <v>27.9833</v>
      </c>
      <c r="I26" s="37">
        <v>84.916700000000006</v>
      </c>
      <c r="J26" s="37" t="str">
        <f t="shared" si="0"/>
        <v>Thakre_Dhading District</v>
      </c>
      <c r="K26" s="37" t="str">
        <f>IFERROR(IF(VLOOKUP(A26,'Service Coverage'!$A:$C,3,0)="","",VLOOKUP(A26,'Service Coverage'!$A:$C,3,0)),"")</f>
        <v>No</v>
      </c>
      <c r="L26" s="37">
        <f>IFERROR(IF(VLOOKUP(A26,'Service Coverage'!$A:$D,4,0)="","",VLOOKUP(A26,'Service Coverage'!$A:$D,4,0)),"")</f>
        <v>2800</v>
      </c>
      <c r="M26" s="37" t="str">
        <f>IFERROR(IF(VLOOKUP(A26,'Service Coverage'!$A:$E,5,0)="","",VLOOKUP(A26,'Service Coverage'!$A:$E,5,0)),"")</f>
        <v/>
      </c>
      <c r="N26" s="37" t="str">
        <f>IFERROR(IF(VLOOKUP(A26,'Service Coverage'!$A:$F,6,0)="","",VLOOKUP(A26,'Service Coverage'!$A:$F,6,0)),"")</f>
        <v/>
      </c>
      <c r="O26" s="37" t="str">
        <f>IFERROR(IF(VLOOKUP(A26,'Service Coverage'!$A:$G,7,0)="","",VLOOKUP(A26,'Service Coverage'!$A:$G,7,0)),"")</f>
        <v/>
      </c>
      <c r="P26" s="37" t="str">
        <f>IFERROR(IF(VLOOKUP(A26,Adequacy!$A:$C,3,0)="","",VLOOKUP(A26,Adequacy!$A:$C,3,0)),"")</f>
        <v/>
      </c>
      <c r="Q26" s="37" t="str">
        <f>IFERROR(IF(VLOOKUP(A26,Adequacy!$A:$D,4,0)="","",VLOOKUP(A26,Adequacy!$A:$D,4,0)),"")</f>
        <v/>
      </c>
      <c r="R26" s="37" t="str">
        <f>IFERROR(IF(VLOOKUP(A26,Adequacy!$A:$E,5,0)="","",VLOOKUP(A26,Adequacy!$A:$E,5,0)),"")</f>
        <v/>
      </c>
      <c r="S26" s="37" t="str">
        <f>IFERROR(IF(VLOOKUP(A26,Adequacy!$A:$G,7,0)="","",VLOOKUP(A26,Adequacy!$A:$G,7,0)),"")</f>
        <v/>
      </c>
      <c r="T26" s="37" t="str">
        <f>IFERROR(IF(VLOOKUP(A26,Adequacy!$A:$H,8,0)="","",VLOOKUP(A26,Adequacy!$A:$H,8,0)),"")</f>
        <v xml:space="preserve"> </v>
      </c>
      <c r="U26" s="37" t="str">
        <f>IFERROR(IF(VLOOKUP(A26,Adequacy!$A:$J,10,0)="","",VLOOKUP(A26,Adequacy!$A:$J,10,0)),"")</f>
        <v/>
      </c>
      <c r="V26" s="37" t="str">
        <f>IFERROR(IF(VLOOKUP(A26,'Water Quality Score'!$A:$C,3,0)="","",VLOOKUP(A26,'Water Quality Score'!$A:$C,3,0)),"")</f>
        <v>No</v>
      </c>
      <c r="W26" s="37" t="str">
        <f>IFERROR(IF(VLOOKUP(A26,'Water Quality Score'!$A:$D,4,0)="","",VLOOKUP(A26,'Water Quality Score'!$A:$D,4,0)),"")</f>
        <v/>
      </c>
      <c r="X26" s="37" t="str">
        <f>IFERROR(IF(VLOOKUP(A26,'Water Quality Score'!$A:$E,5,0)="","",VLOOKUP(A26,'Water Quality Score'!$A:$E,5,0)),"")</f>
        <v/>
      </c>
      <c r="Y26" s="37">
        <f>IFERROR(IF(VLOOKUP(A26,'Water Quality Score'!$A:$F,6,0)="","",VLOOKUP(A26,'Water Quality Score'!$A:$F,6,0)),"")</f>
        <v>0</v>
      </c>
      <c r="Z26" s="37">
        <f>IFERROR(IF(VLOOKUP(A26,'Reliability score'!$A:$C,3,0)="","",VLOOKUP(A26,'Reliability score'!$A:$C,3,0)),"")</f>
        <v>24</v>
      </c>
      <c r="AA26" s="37">
        <f>IFERROR(IF(VLOOKUP(A26,'Reliability score'!$A:$D,4,0)="","",VLOOKUP(A26,'Reliability score'!$A:$D,4,0)),"")</f>
        <v>1</v>
      </c>
      <c r="AB26" s="37" t="str">
        <f>IFERROR(IF(VLOOKUP(A26,NRW!$A:$C,3,0)="","",VLOOKUP(A26,NRW!$A:$C,3,0)),"")</f>
        <v/>
      </c>
      <c r="AC26" s="37" t="str">
        <f>IFERROR(IF(VLOOKUP(A26,NRW!$A:$D,4,0)="","",VLOOKUP(A26,NRW!$A:$D,4,0)),"")</f>
        <v/>
      </c>
      <c r="AD26" s="37" t="str">
        <f>IFERROR(IF(VLOOKUP(A26,NRW!$A:$E,5,0)="","",VLOOKUP(A26,NRW!$A:$E,5,0)),"")</f>
        <v/>
      </c>
      <c r="AE26" s="37" t="str">
        <f>IFERROR(IF(VLOOKUP(A26,NRW!$A:$F,6,0)="","",VLOOKUP(A26,NRW!$A:$F,6,0)),"")</f>
        <v/>
      </c>
      <c r="AF26" s="37" t="str">
        <f>IFERROR(IF(VLOOKUP(A26,NRW!$A:$G,7,0)="","",VLOOKUP(A26,NRW!$A:$G,7,0)),"")</f>
        <v/>
      </c>
      <c r="AG26" s="37" t="str">
        <f>IFERROR(IF(OR(VLOOKUP(A26,NRW!$A:$H,8,0)="",VLOOKUP(A26,NRW!$A:$H,8,0)=0),"",VLOOKUP(A26,NRW!$A:$H,8,0)),"")</f>
        <v/>
      </c>
      <c r="AH26" s="37" t="str">
        <f>IFERROR(IF(VLOOKUP(A26,'O&amp;M score'!$A:$D,4,0)="","",VLOOKUP(A26,'O&amp;M score'!$A:$D,4,0)),"")</f>
        <v/>
      </c>
      <c r="AI26" s="37" t="str">
        <f>IFERROR(IF(VLOOKUP(A26,'O&amp;M score'!$A:$E,5,0)="","",VLOOKUP(A26,'O&amp;M score'!$A:$E,5,0)),"")</f>
        <v/>
      </c>
      <c r="AJ26" s="37" t="str">
        <f>IFERROR(IF(VLOOKUP(A26,'O&amp;M score'!$A:$F,6,0)="","",VLOOKUP(A26,'O&amp;M score'!$A:$F,6,0)),"")</f>
        <v/>
      </c>
      <c r="AK26" s="37" t="str">
        <f>IFERROR(IF(VLOOKUP(A26,'O&amp;M score'!$A:$G,7,0)="","",VLOOKUP(A26,'O&amp;M score'!$A:$G,7,0)),"")</f>
        <v/>
      </c>
      <c r="AL26" s="37">
        <f>IFERROR(IF(VLOOKUP(A26,'Metering Ratio Score'!$A:$C,3,0)="","",VLOOKUP(A26,'Metering Ratio Score'!$A:$C,3,0)),"")</f>
        <v>2800</v>
      </c>
      <c r="AM26" s="37" t="str">
        <f>IFERROR(IF(VLOOKUP(A26,'Metering Ratio Score'!$A:$D,4,0)="","",VLOOKUP(A26,'Metering Ratio Score'!$A:$D,4,0)),"")</f>
        <v/>
      </c>
      <c r="AN26" s="37" t="str">
        <f>IFERROR(IF(VLOOKUP(A26,'Metering Ratio Score'!$A:$E,5,0)="","",VLOOKUP(A26,'Metering Ratio Score'!$A:$E,5,0)),"")</f>
        <v/>
      </c>
      <c r="AO26" s="37" t="str">
        <f>IFERROR(IF(VLOOKUP(A26,'Metering Ratio Score'!$A:$F,6,0)="","",VLOOKUP(A26,'Metering Ratio Score'!$A:$F,6,0)),"")</f>
        <v/>
      </c>
      <c r="AP26" s="37" t="str">
        <f>IFERROR(IF(VLOOKUP(A26,'Grievance Addressal'!$A:$C,3,0)="","",VLOOKUP(A26,'Grievance Addressal'!$A:$C,3,0)),"")</f>
        <v/>
      </c>
      <c r="AQ26" s="37" t="str">
        <f>IFERROR(IF(VLOOKUP(A26,'Grievance Addressal'!$A:$D,4,0)="","",VLOOKUP(A26,'Grievance Addressal'!$A:$D,4,0)),"")</f>
        <v>No</v>
      </c>
      <c r="AR26" s="37" t="str">
        <f>IFERROR(IF(VLOOKUP(A26,'Grievance Addressal'!$A:$E,5,0)="","",VLOOKUP(A26,'Grievance Addressal'!$A:$E,5,0)),"")</f>
        <v xml:space="preserve"> </v>
      </c>
      <c r="AS26" s="37" t="str">
        <f>IFERROR(IF(VLOOKUP(A26,Summary_Index!$A$5:$N$281,7,0)="","",VLOOKUP(A26,Summary_Index!$A$5:$N$281,7,0)),"")</f>
        <v/>
      </c>
      <c r="AT26" s="37" t="str">
        <f>IFERROR(IF(VLOOKUP(A26,Summary_Index!$A$5:$N$281,12,0)="","",VLOOKUP(A26,Summary_Index!$A$5:$N$281,12,0)),"")</f>
        <v/>
      </c>
      <c r="AU26" s="37" t="str">
        <f>IFERROR(IF(VLOOKUP(A26,Summary_Index!$A$5:$N$281,13,0)="","",VLOOKUP(A26,Summary_Index!$A$5:$N$281,13,0)),"")</f>
        <v/>
      </c>
      <c r="AV26" s="37" t="str">
        <f>IFERROR(IF(VLOOKUP(A26,Summary_Index!$A$5:$N$281,14,0)="","",VLOOKUP(A26,Summary_Index!$A$5:$N$281,14,0)),"")</f>
        <v/>
      </c>
    </row>
    <row r="27" spans="1:48" ht="45.6" customHeight="1" x14ac:dyDescent="0.3">
      <c r="A27" s="37">
        <f>Spatial!A27</f>
        <v>26</v>
      </c>
      <c r="B27" s="37" t="str">
        <f>Spatial!B27</f>
        <v xml:space="preserve">Belung_Salyankot_WSUC </v>
      </c>
      <c r="C27" s="37" t="str">
        <f>Spatial!C27</f>
        <v>Bagmati</v>
      </c>
      <c r="D27" s="37" t="str">
        <f>Spatial!D27</f>
        <v>Dhading District</v>
      </c>
      <c r="E27" s="37" t="str">
        <f>Spatial!E27</f>
        <v>Rural municipality</v>
      </c>
      <c r="F27" s="37" t="str">
        <f>Spatial!F27</f>
        <v>Tripurasundari</v>
      </c>
      <c r="G27" s="37">
        <f>IFERROR(Spatial!G27,"")</f>
        <v>0</v>
      </c>
      <c r="H27" s="50">
        <v>27.85</v>
      </c>
      <c r="I27" s="37">
        <v>84.783299999999997</v>
      </c>
      <c r="J27" s="37" t="str">
        <f t="shared" si="0"/>
        <v>Tripurasundari_Dhading District</v>
      </c>
      <c r="K27" s="37" t="str">
        <f>IFERROR(IF(VLOOKUP(A27,'Service Coverage'!$A:$C,3,0)="","",VLOOKUP(A27,'Service Coverage'!$A:$C,3,0)),"")</f>
        <v>No</v>
      </c>
      <c r="L27" s="37">
        <f>IFERROR(IF(VLOOKUP(A27,'Service Coverage'!$A:$D,4,0)="","",VLOOKUP(A27,'Service Coverage'!$A:$D,4,0)),"")</f>
        <v>750</v>
      </c>
      <c r="M27" s="37" t="str">
        <f>IFERROR(IF(VLOOKUP(A27,'Service Coverage'!$A:$E,5,0)="","",VLOOKUP(A27,'Service Coverage'!$A:$E,5,0)),"")</f>
        <v/>
      </c>
      <c r="N27" s="37" t="str">
        <f>IFERROR(IF(VLOOKUP(A27,'Service Coverage'!$A:$F,6,0)="","",VLOOKUP(A27,'Service Coverage'!$A:$F,6,0)),"")</f>
        <v/>
      </c>
      <c r="O27" s="37" t="str">
        <f>IFERROR(IF(VLOOKUP(A27,'Service Coverage'!$A:$G,7,0)="","",VLOOKUP(A27,'Service Coverage'!$A:$G,7,0)),"")</f>
        <v/>
      </c>
      <c r="P27" s="37" t="str">
        <f>IFERROR(IF(VLOOKUP(A27,Adequacy!$A:$C,3,0)="","",VLOOKUP(A27,Adequacy!$A:$C,3,0)),"")</f>
        <v/>
      </c>
      <c r="Q27" s="37" t="str">
        <f>IFERROR(IF(VLOOKUP(A27,Adequacy!$A:$D,4,0)="","",VLOOKUP(A27,Adequacy!$A:$D,4,0)),"")</f>
        <v/>
      </c>
      <c r="R27" s="37" t="str">
        <f>IFERROR(IF(VLOOKUP(A27,Adequacy!$A:$E,5,0)="","",VLOOKUP(A27,Adequacy!$A:$E,5,0)),"")</f>
        <v/>
      </c>
      <c r="S27" s="37" t="str">
        <f>IFERROR(IF(VLOOKUP(A27,Adequacy!$A:$G,7,0)="","",VLOOKUP(A27,Adequacy!$A:$G,7,0)),"")</f>
        <v/>
      </c>
      <c r="T27" s="37" t="str">
        <f>IFERROR(IF(VLOOKUP(A27,Adequacy!$A:$H,8,0)="","",VLOOKUP(A27,Adequacy!$A:$H,8,0)),"")</f>
        <v xml:space="preserve"> </v>
      </c>
      <c r="U27" s="37" t="str">
        <f>IFERROR(IF(VLOOKUP(A27,Adequacy!$A:$J,10,0)="","",VLOOKUP(A27,Adequacy!$A:$J,10,0)),"")</f>
        <v/>
      </c>
      <c r="V27" s="37" t="str">
        <f>IFERROR(IF(VLOOKUP(A27,'Water Quality Score'!$A:$C,3,0)="","",VLOOKUP(A27,'Water Quality Score'!$A:$C,3,0)),"")</f>
        <v>No</v>
      </c>
      <c r="W27" s="37" t="str">
        <f>IFERROR(IF(VLOOKUP(A27,'Water Quality Score'!$A:$D,4,0)="","",VLOOKUP(A27,'Water Quality Score'!$A:$D,4,0)),"")</f>
        <v/>
      </c>
      <c r="X27" s="37" t="str">
        <f>IFERROR(IF(VLOOKUP(A27,'Water Quality Score'!$A:$E,5,0)="","",VLOOKUP(A27,'Water Quality Score'!$A:$E,5,0)),"")</f>
        <v/>
      </c>
      <c r="Y27" s="37">
        <f>IFERROR(IF(VLOOKUP(A27,'Water Quality Score'!$A:$F,6,0)="","",VLOOKUP(A27,'Water Quality Score'!$A:$F,6,0)),"")</f>
        <v>0</v>
      </c>
      <c r="Z27" s="37">
        <f>IFERROR(IF(VLOOKUP(A27,'Reliability score'!$A:$C,3,0)="","",VLOOKUP(A27,'Reliability score'!$A:$C,3,0)),"")</f>
        <v>18</v>
      </c>
      <c r="AA27" s="37">
        <f>IFERROR(IF(VLOOKUP(A27,'Reliability score'!$A:$D,4,0)="","",VLOOKUP(A27,'Reliability score'!$A:$D,4,0)),"")</f>
        <v>0.85714285714285721</v>
      </c>
      <c r="AB27" s="37" t="str">
        <f>IFERROR(IF(VLOOKUP(A27,NRW!$A:$C,3,0)="","",VLOOKUP(A27,NRW!$A:$C,3,0)),"")</f>
        <v/>
      </c>
      <c r="AC27" s="37" t="str">
        <f>IFERROR(IF(VLOOKUP(A27,NRW!$A:$D,4,0)="","",VLOOKUP(A27,NRW!$A:$D,4,0)),"")</f>
        <v/>
      </c>
      <c r="AD27" s="37" t="str">
        <f>IFERROR(IF(VLOOKUP(A27,NRW!$A:$E,5,0)="","",VLOOKUP(A27,NRW!$A:$E,5,0)),"")</f>
        <v/>
      </c>
      <c r="AE27" s="37" t="str">
        <f>IFERROR(IF(VLOOKUP(A27,NRW!$A:$F,6,0)="","",VLOOKUP(A27,NRW!$A:$F,6,0)),"")</f>
        <v/>
      </c>
      <c r="AF27" s="37" t="str">
        <f>IFERROR(IF(VLOOKUP(A27,NRW!$A:$G,7,0)="","",VLOOKUP(A27,NRW!$A:$G,7,0)),"")</f>
        <v/>
      </c>
      <c r="AG27" s="37" t="str">
        <f>IFERROR(IF(OR(VLOOKUP(A27,NRW!$A:$H,8,0)="",VLOOKUP(A27,NRW!$A:$H,8,0)=0),"",VLOOKUP(A27,NRW!$A:$H,8,0)),"")</f>
        <v/>
      </c>
      <c r="AH27" s="37">
        <f>IFERROR(IF(VLOOKUP(A27,'O&amp;M score'!$A:$D,4,0)="","",VLOOKUP(A27,'O&amp;M score'!$A:$D,4,0)),"")</f>
        <v>200000</v>
      </c>
      <c r="AI27" s="37">
        <f>IFERROR(IF(VLOOKUP(A27,'O&amp;M score'!$A:$E,5,0)="","",VLOOKUP(A27,'O&amp;M score'!$A:$E,5,0)),"")</f>
        <v>100000</v>
      </c>
      <c r="AJ27" s="37">
        <f>IFERROR(IF(VLOOKUP(A27,'O&amp;M score'!$A:$F,6,0)="","",VLOOKUP(A27,'O&amp;M score'!$A:$F,6,0)),"")</f>
        <v>2</v>
      </c>
      <c r="AK27" s="37">
        <f>IFERROR(IF(VLOOKUP(A27,'O&amp;M score'!$A:$G,7,0)="","",VLOOKUP(A27,'O&amp;M score'!$A:$G,7,0)),"")</f>
        <v>0</v>
      </c>
      <c r="AL27" s="37" t="str">
        <f>IFERROR(IF(VLOOKUP(A27,'Metering Ratio Score'!$A:$C,3,0)="","",VLOOKUP(A27,'Metering Ratio Score'!$A:$C,3,0)),"")</f>
        <v/>
      </c>
      <c r="AM27" s="37" t="str">
        <f>IFERROR(IF(VLOOKUP(A27,'Metering Ratio Score'!$A:$D,4,0)="","",VLOOKUP(A27,'Metering Ratio Score'!$A:$D,4,0)),"")</f>
        <v/>
      </c>
      <c r="AN27" s="37" t="str">
        <f>IFERROR(IF(VLOOKUP(A27,'Metering Ratio Score'!$A:$E,5,0)="","",VLOOKUP(A27,'Metering Ratio Score'!$A:$E,5,0)),"")</f>
        <v/>
      </c>
      <c r="AO27" s="37" t="str">
        <f>IFERROR(IF(VLOOKUP(A27,'Metering Ratio Score'!$A:$F,6,0)="","",VLOOKUP(A27,'Metering Ratio Score'!$A:$F,6,0)),"")</f>
        <v/>
      </c>
      <c r="AP27" s="37" t="str">
        <f>IFERROR(IF(VLOOKUP(A27,'Grievance Addressal'!$A:$C,3,0)="","",VLOOKUP(A27,'Grievance Addressal'!$A:$C,3,0)),"")</f>
        <v/>
      </c>
      <c r="AQ27" s="37" t="str">
        <f>IFERROR(IF(VLOOKUP(A27,'Grievance Addressal'!$A:$D,4,0)="","",VLOOKUP(A27,'Grievance Addressal'!$A:$D,4,0)),"")</f>
        <v>No</v>
      </c>
      <c r="AR27" s="37" t="str">
        <f>IFERROR(IF(VLOOKUP(A27,'Grievance Addressal'!$A:$E,5,0)="","",VLOOKUP(A27,'Grievance Addressal'!$A:$E,5,0)),"")</f>
        <v xml:space="preserve"> </v>
      </c>
      <c r="AS27" s="37" t="str">
        <f>IFERROR(IF(VLOOKUP(A27,Summary_Index!$A$5:$N$281,7,0)="","",VLOOKUP(A27,Summary_Index!$A$5:$N$281,7,0)),"")</f>
        <v/>
      </c>
      <c r="AT27" s="37" t="str">
        <f>IFERROR(IF(VLOOKUP(A27,Summary_Index!$A$5:$N$281,12,0)="","",VLOOKUP(A27,Summary_Index!$A$5:$N$281,12,0)),"")</f>
        <v/>
      </c>
      <c r="AU27" s="37" t="str">
        <f>IFERROR(IF(VLOOKUP(A27,Summary_Index!$A$5:$N$281,13,0)="","",VLOOKUP(A27,Summary_Index!$A$5:$N$281,13,0)),"")</f>
        <v/>
      </c>
      <c r="AV27" s="37" t="str">
        <f>IFERROR(IF(VLOOKUP(A27,Summary_Index!$A$5:$N$281,14,0)="","",VLOOKUP(A27,Summary_Index!$A$5:$N$281,14,0)),"")</f>
        <v/>
      </c>
    </row>
    <row r="28" spans="1:48" ht="45.6" customHeight="1" x14ac:dyDescent="0.3">
      <c r="A28" s="37">
        <f>Spatial!A28</f>
        <v>27</v>
      </c>
      <c r="B28" s="37" t="str">
        <f>Spatial!B28</f>
        <v xml:space="preserve"> Anandaban Sankarnagar Water supply user and sanitation Accociation</v>
      </c>
      <c r="C28" s="37" t="str">
        <f>Spatial!C28</f>
        <v>Lumbini</v>
      </c>
      <c r="D28" s="37" t="str">
        <f>Spatial!D28</f>
        <v>Rupandehi District</v>
      </c>
      <c r="E28" s="37" t="str">
        <f>Spatial!E28</f>
        <v>Municipality</v>
      </c>
      <c r="F28" s="37" t="str">
        <f>Spatial!F28</f>
        <v>Tilottama</v>
      </c>
      <c r="G28" s="37">
        <f>IFERROR(Spatial!G28,"")</f>
        <v>0</v>
      </c>
      <c r="H28" s="49">
        <v>27.583300000000001</v>
      </c>
      <c r="I28" s="37">
        <v>83.4833</v>
      </c>
      <c r="J28" s="37" t="str">
        <f t="shared" si="0"/>
        <v>Tilottama_Rupandehi District</v>
      </c>
      <c r="K28" s="37" t="str">
        <f>IFERROR(IF(VLOOKUP(A28,'Service Coverage'!$A:$C,3,0)="","",VLOOKUP(A28,'Service Coverage'!$A:$C,3,0)),"")</f>
        <v>Yes</v>
      </c>
      <c r="L28" s="37">
        <f>IFERROR(IF(VLOOKUP(A28,'Service Coverage'!$A:$D,4,0)="","",VLOOKUP(A28,'Service Coverage'!$A:$D,4,0)),"")</f>
        <v>10000</v>
      </c>
      <c r="M28" s="37" t="str">
        <f>IFERROR(IF(VLOOKUP(A28,'Service Coverage'!$A:$E,5,0)="","",VLOOKUP(A28,'Service Coverage'!$A:$E,5,0)),"")</f>
        <v/>
      </c>
      <c r="N28" s="37" t="str">
        <f>IFERROR(IF(VLOOKUP(A28,'Service Coverage'!$A:$F,6,0)="","",VLOOKUP(A28,'Service Coverage'!$A:$F,6,0)),"")</f>
        <v/>
      </c>
      <c r="O28" s="37" t="str">
        <f>IFERROR(IF(VLOOKUP(A28,'Service Coverage'!$A:$G,7,0)="","",VLOOKUP(A28,'Service Coverage'!$A:$G,7,0)),"")</f>
        <v/>
      </c>
      <c r="P28" s="37" t="str">
        <f>IFERROR(IF(VLOOKUP(A28,Adequacy!$A:$C,3,0)="","",VLOOKUP(A28,Adequacy!$A:$C,3,0)),"")</f>
        <v/>
      </c>
      <c r="Q28" s="37" t="str">
        <f>IFERROR(IF(VLOOKUP(A28,Adequacy!$A:$D,4,0)="","",VLOOKUP(A28,Adequacy!$A:$D,4,0)),"")</f>
        <v/>
      </c>
      <c r="R28" s="37" t="str">
        <f>IFERROR(IF(VLOOKUP(A28,Adequacy!$A:$E,5,0)="","",VLOOKUP(A28,Adequacy!$A:$E,5,0)),"")</f>
        <v/>
      </c>
      <c r="S28" s="37" t="str">
        <f>IFERROR(IF(VLOOKUP(A28,Adequacy!$A:$G,7,0)="","",VLOOKUP(A28,Adequacy!$A:$G,7,0)),"")</f>
        <v/>
      </c>
      <c r="T28" s="37" t="str">
        <f>IFERROR(IF(VLOOKUP(A28,Adequacy!$A:$H,8,0)="","",VLOOKUP(A28,Adequacy!$A:$H,8,0)),"")</f>
        <v xml:space="preserve"> </v>
      </c>
      <c r="U28" s="37" t="str">
        <f>IFERROR(IF(VLOOKUP(A28,Adequacy!$A:$J,10,0)="","",VLOOKUP(A28,Adequacy!$A:$J,10,0)),"")</f>
        <v/>
      </c>
      <c r="V28" s="37" t="str">
        <f>IFERROR(IF(VLOOKUP(A28,'Water Quality Score'!$A:$C,3,0)="","",VLOOKUP(A28,'Water Quality Score'!$A:$C,3,0)),"")</f>
        <v>yes</v>
      </c>
      <c r="W28" s="37" t="str">
        <f>IFERROR(IF(VLOOKUP(A28,'Water Quality Score'!$A:$D,4,0)="","",VLOOKUP(A28,'Water Quality Score'!$A:$D,4,0)),"")</f>
        <v/>
      </c>
      <c r="X28" s="37" t="str">
        <f>IFERROR(IF(VLOOKUP(A28,'Water Quality Score'!$A:$E,5,0)="","",VLOOKUP(A28,'Water Quality Score'!$A:$E,5,0)),"")</f>
        <v/>
      </c>
      <c r="Y28" s="37">
        <f>IFERROR(IF(VLOOKUP(A28,'Water Quality Score'!$A:$F,6,0)="","",VLOOKUP(A28,'Water Quality Score'!$A:$F,6,0)),"")</f>
        <v>0.2</v>
      </c>
      <c r="Z28" s="37">
        <f>IFERROR(IF(VLOOKUP(A28,'Reliability score'!$A:$C,3,0)="","",VLOOKUP(A28,'Reliability score'!$A:$C,3,0)),"")</f>
        <v>24</v>
      </c>
      <c r="AA28" s="37">
        <f>IFERROR(IF(VLOOKUP(A28,'Reliability score'!$A:$D,4,0)="","",VLOOKUP(A28,'Reliability score'!$A:$D,4,0)),"")</f>
        <v>1</v>
      </c>
      <c r="AB28" s="37" t="str">
        <f>IFERROR(IF(VLOOKUP(A28,NRW!$A:$C,3,0)="","",VLOOKUP(A28,NRW!$A:$C,3,0)),"")</f>
        <v/>
      </c>
      <c r="AC28" s="37" t="str">
        <f>IFERROR(IF(VLOOKUP(A28,NRW!$A:$D,4,0)="","",VLOOKUP(A28,NRW!$A:$D,4,0)),"")</f>
        <v/>
      </c>
      <c r="AD28" s="37" t="str">
        <f>IFERROR(IF(VLOOKUP(A28,NRW!$A:$E,5,0)="","",VLOOKUP(A28,NRW!$A:$E,5,0)),"")</f>
        <v/>
      </c>
      <c r="AE28" s="37" t="str">
        <f>IFERROR(IF(VLOOKUP(A28,NRW!$A:$F,6,0)="","",VLOOKUP(A28,NRW!$A:$F,6,0)),"")</f>
        <v/>
      </c>
      <c r="AF28" s="37" t="str">
        <f>IFERROR(IF(VLOOKUP(A28,NRW!$A:$G,7,0)="","",VLOOKUP(A28,NRW!$A:$G,7,0)),"")</f>
        <v/>
      </c>
      <c r="AG28" s="37" t="str">
        <f>IFERROR(IF(OR(VLOOKUP(A28,NRW!$A:$H,8,0)="",VLOOKUP(A28,NRW!$A:$H,8,0)=0),"",VLOOKUP(A28,NRW!$A:$H,8,0)),"")</f>
        <v/>
      </c>
      <c r="AH28" s="37">
        <f>IFERROR(IF(VLOOKUP(A28,'O&amp;M score'!$A:$D,4,0)="","",VLOOKUP(A28,'O&amp;M score'!$A:$D,4,0)),"")</f>
        <v>36075000</v>
      </c>
      <c r="AI28" s="37">
        <f>IFERROR(IF(VLOOKUP(A28,'O&amp;M score'!$A:$E,5,0)="","",VLOOKUP(A28,'O&amp;M score'!$A:$E,5,0)),"")</f>
        <v>56688000</v>
      </c>
      <c r="AJ28" s="37">
        <f>IFERROR(IF(VLOOKUP(A28,'O&amp;M score'!$A:$F,6,0)="","",VLOOKUP(A28,'O&amp;M score'!$A:$F,6,0)),"")</f>
        <v>0.63637806943268416</v>
      </c>
      <c r="AK28" s="37">
        <f>IFERROR(IF(VLOOKUP(A28,'O&amp;M score'!$A:$G,7,0)="","",VLOOKUP(A28,'O&amp;M score'!$A:$G,7,0)),"")</f>
        <v>1</v>
      </c>
      <c r="AL28" s="37">
        <f>IFERROR(IF(VLOOKUP(A28,'Metering Ratio Score'!$A:$C,3,0)="","",VLOOKUP(A28,'Metering Ratio Score'!$A:$C,3,0)),"")</f>
        <v>9480</v>
      </c>
      <c r="AM28" s="37" t="str">
        <f>IFERROR(IF(VLOOKUP(A28,'Metering Ratio Score'!$A:$D,4,0)="","",VLOOKUP(A28,'Metering Ratio Score'!$A:$D,4,0)),"")</f>
        <v/>
      </c>
      <c r="AN28" s="37" t="str">
        <f>IFERROR(IF(VLOOKUP(A28,'Metering Ratio Score'!$A:$E,5,0)="","",VLOOKUP(A28,'Metering Ratio Score'!$A:$E,5,0)),"")</f>
        <v/>
      </c>
      <c r="AO28" s="37" t="str">
        <f>IFERROR(IF(VLOOKUP(A28,'Metering Ratio Score'!$A:$F,6,0)="","",VLOOKUP(A28,'Metering Ratio Score'!$A:$F,6,0)),"")</f>
        <v/>
      </c>
      <c r="AP28" s="37" t="str">
        <f>IFERROR(IF(VLOOKUP(A28,'Grievance Addressal'!$A:$C,3,0)="","",VLOOKUP(A28,'Grievance Addressal'!$A:$C,3,0)),"")</f>
        <v/>
      </c>
      <c r="AQ28" s="37" t="str">
        <f>IFERROR(IF(VLOOKUP(A28,'Grievance Addressal'!$A:$D,4,0)="","",VLOOKUP(A28,'Grievance Addressal'!$A:$D,4,0)),"")</f>
        <v>yes</v>
      </c>
      <c r="AR28" s="37" t="str">
        <f>IFERROR(IF(VLOOKUP(A28,'Grievance Addressal'!$A:$E,5,0)="","",VLOOKUP(A28,'Grievance Addressal'!$A:$E,5,0)),"")</f>
        <v xml:space="preserve"> </v>
      </c>
      <c r="AS28" s="37" t="str">
        <f>IFERROR(IF(VLOOKUP(A28,Summary_Index!$A$5:$N$281,7,0)="","",VLOOKUP(A28,Summary_Index!$A$5:$N$281,7,0)),"")</f>
        <v/>
      </c>
      <c r="AT28" s="37" t="str">
        <f>IFERROR(IF(VLOOKUP(A28,Summary_Index!$A$5:$N$281,12,0)="","",VLOOKUP(A28,Summary_Index!$A$5:$N$281,12,0)),"")</f>
        <v/>
      </c>
      <c r="AU28" s="37" t="str">
        <f>IFERROR(IF(VLOOKUP(A28,Summary_Index!$A$5:$N$281,13,0)="","",VLOOKUP(A28,Summary_Index!$A$5:$N$281,13,0)),"")</f>
        <v/>
      </c>
      <c r="AV28" s="37" t="str">
        <f>IFERROR(IF(VLOOKUP(A28,Summary_Index!$A$5:$N$281,14,0)="","",VLOOKUP(A28,Summary_Index!$A$5:$N$281,14,0)),"")</f>
        <v/>
      </c>
    </row>
    <row r="29" spans="1:48" ht="45.6" customHeight="1" x14ac:dyDescent="0.3">
      <c r="A29" s="37">
        <f>Spatial!A29</f>
        <v>28</v>
      </c>
      <c r="B29" s="37" t="str">
        <f>Spatial!B29</f>
        <v>Mahadevsthan_Matatirtha_WSUC</v>
      </c>
      <c r="C29" s="37" t="str">
        <f>Spatial!C29</f>
        <v>Bagmati</v>
      </c>
      <c r="D29" s="37" t="str">
        <f>Spatial!D29</f>
        <v>Kathmandu District</v>
      </c>
      <c r="E29" s="37" t="str">
        <f>Spatial!E29</f>
        <v>Municipality</v>
      </c>
      <c r="F29" s="37" t="str">
        <f>Spatial!F29</f>
        <v>Chandragiri</v>
      </c>
      <c r="G29" s="37">
        <f>IFERROR(Spatial!G29,"")</f>
        <v>0</v>
      </c>
      <c r="H29" s="50">
        <v>27.683299999999999</v>
      </c>
      <c r="I29" s="37">
        <v>85.2667</v>
      </c>
      <c r="J29" s="37" t="str">
        <f t="shared" si="0"/>
        <v>Chandragiri_Kathmandu District</v>
      </c>
      <c r="K29" s="37" t="str">
        <f>IFERROR(IF(VLOOKUP(A29,'Service Coverage'!$A:$C,3,0)="","",VLOOKUP(A29,'Service Coverage'!$A:$C,3,0)),"")</f>
        <v>No</v>
      </c>
      <c r="L29" s="37">
        <f>IFERROR(IF(VLOOKUP(A29,'Service Coverage'!$A:$D,4,0)="","",VLOOKUP(A29,'Service Coverage'!$A:$D,4,0)),"")</f>
        <v>4800</v>
      </c>
      <c r="M29" s="37" t="str">
        <f>IFERROR(IF(VLOOKUP(A29,'Service Coverage'!$A:$E,5,0)="","",VLOOKUP(A29,'Service Coverage'!$A:$E,5,0)),"")</f>
        <v/>
      </c>
      <c r="N29" s="37" t="str">
        <f>IFERROR(IF(VLOOKUP(A29,'Service Coverage'!$A:$F,6,0)="","",VLOOKUP(A29,'Service Coverage'!$A:$F,6,0)),"")</f>
        <v/>
      </c>
      <c r="O29" s="37" t="str">
        <f>IFERROR(IF(VLOOKUP(A29,'Service Coverage'!$A:$G,7,0)="","",VLOOKUP(A29,'Service Coverage'!$A:$G,7,0)),"")</f>
        <v/>
      </c>
      <c r="P29" s="37" t="str">
        <f>IFERROR(IF(VLOOKUP(A29,Adequacy!$A:$C,3,0)="","",VLOOKUP(A29,Adequacy!$A:$C,3,0)),"")</f>
        <v/>
      </c>
      <c r="Q29" s="37" t="str">
        <f>IFERROR(IF(VLOOKUP(A29,Adequacy!$A:$D,4,0)="","",VLOOKUP(A29,Adequacy!$A:$D,4,0)),"")</f>
        <v/>
      </c>
      <c r="R29" s="37" t="str">
        <f>IFERROR(IF(VLOOKUP(A29,Adequacy!$A:$E,5,0)="","",VLOOKUP(A29,Adequacy!$A:$E,5,0)),"")</f>
        <v/>
      </c>
      <c r="S29" s="37" t="str">
        <f>IFERROR(IF(VLOOKUP(A29,Adequacy!$A:$G,7,0)="","",VLOOKUP(A29,Adequacy!$A:$G,7,0)),"")</f>
        <v/>
      </c>
      <c r="T29" s="37" t="str">
        <f>IFERROR(IF(VLOOKUP(A29,Adequacy!$A:$H,8,0)="","",VLOOKUP(A29,Adequacy!$A:$H,8,0)),"")</f>
        <v xml:space="preserve"> </v>
      </c>
      <c r="U29" s="37" t="str">
        <f>IFERROR(IF(VLOOKUP(A29,Adequacy!$A:$J,10,0)="","",VLOOKUP(A29,Adequacy!$A:$J,10,0)),"")</f>
        <v/>
      </c>
      <c r="V29" s="37" t="str">
        <f>IFERROR(IF(VLOOKUP(A29,'Water Quality Score'!$A:$C,3,0)="","",VLOOKUP(A29,'Water Quality Score'!$A:$C,3,0)),"")</f>
        <v>No</v>
      </c>
      <c r="W29" s="37" t="str">
        <f>IFERROR(IF(VLOOKUP(A29,'Water Quality Score'!$A:$D,4,0)="","",VLOOKUP(A29,'Water Quality Score'!$A:$D,4,0)),"")</f>
        <v/>
      </c>
      <c r="X29" s="37" t="str">
        <f>IFERROR(IF(VLOOKUP(A29,'Water Quality Score'!$A:$E,5,0)="","",VLOOKUP(A29,'Water Quality Score'!$A:$E,5,0)),"")</f>
        <v/>
      </c>
      <c r="Y29" s="37">
        <f>IFERROR(IF(VLOOKUP(A29,'Water Quality Score'!$A:$F,6,0)="","",VLOOKUP(A29,'Water Quality Score'!$A:$F,6,0)),"")</f>
        <v>0</v>
      </c>
      <c r="Z29" s="37" t="str">
        <f>IFERROR(IF(VLOOKUP(A29,'Reliability score'!$A:$C,3,0)="","",VLOOKUP(A29,'Reliability score'!$A:$C,3,0)),"")</f>
        <v/>
      </c>
      <c r="AA29" s="37" t="str">
        <f>IFERROR(IF(VLOOKUP(A29,'Reliability score'!$A:$D,4,0)="","",VLOOKUP(A29,'Reliability score'!$A:$D,4,0)),"")</f>
        <v xml:space="preserve"> </v>
      </c>
      <c r="AB29" s="37" t="str">
        <f>IFERROR(IF(VLOOKUP(A29,NRW!$A:$C,3,0)="","",VLOOKUP(A29,NRW!$A:$C,3,0)),"")</f>
        <v/>
      </c>
      <c r="AC29" s="37" t="str">
        <f>IFERROR(IF(VLOOKUP(A29,NRW!$A:$D,4,0)="","",VLOOKUP(A29,NRW!$A:$D,4,0)),"")</f>
        <v/>
      </c>
      <c r="AD29" s="37" t="str">
        <f>IFERROR(IF(VLOOKUP(A29,NRW!$A:$E,5,0)="","",VLOOKUP(A29,NRW!$A:$E,5,0)),"")</f>
        <v/>
      </c>
      <c r="AE29" s="37" t="str">
        <f>IFERROR(IF(VLOOKUP(A29,NRW!$A:$F,6,0)="","",VLOOKUP(A29,NRW!$A:$F,6,0)),"")</f>
        <v/>
      </c>
      <c r="AF29" s="37" t="str">
        <f>IFERROR(IF(VLOOKUP(A29,NRW!$A:$G,7,0)="","",VLOOKUP(A29,NRW!$A:$G,7,0)),"")</f>
        <v/>
      </c>
      <c r="AG29" s="37" t="str">
        <f>IFERROR(IF(OR(VLOOKUP(A29,NRW!$A:$H,8,0)="",VLOOKUP(A29,NRW!$A:$H,8,0)=0),"",VLOOKUP(A29,NRW!$A:$H,8,0)),"")</f>
        <v/>
      </c>
      <c r="AH29" s="37" t="str">
        <f>IFERROR(IF(VLOOKUP(A29,'O&amp;M score'!$A:$D,4,0)="","",VLOOKUP(A29,'O&amp;M score'!$A:$D,4,0)),"")</f>
        <v/>
      </c>
      <c r="AI29" s="37" t="str">
        <f>IFERROR(IF(VLOOKUP(A29,'O&amp;M score'!$A:$E,5,0)="","",VLOOKUP(A29,'O&amp;M score'!$A:$E,5,0)),"")</f>
        <v/>
      </c>
      <c r="AJ29" s="37" t="str">
        <f>IFERROR(IF(VLOOKUP(A29,'O&amp;M score'!$A:$F,6,0)="","",VLOOKUP(A29,'O&amp;M score'!$A:$F,6,0)),"")</f>
        <v/>
      </c>
      <c r="AK29" s="37" t="str">
        <f>IFERROR(IF(VLOOKUP(A29,'O&amp;M score'!$A:$G,7,0)="","",VLOOKUP(A29,'O&amp;M score'!$A:$G,7,0)),"")</f>
        <v/>
      </c>
      <c r="AL29" s="37">
        <f>IFERROR(IF(VLOOKUP(A29,'Metering Ratio Score'!$A:$C,3,0)="","",VLOOKUP(A29,'Metering Ratio Score'!$A:$C,3,0)),"")</f>
        <v>4800</v>
      </c>
      <c r="AM29" s="37" t="str">
        <f>IFERROR(IF(VLOOKUP(A29,'Metering Ratio Score'!$A:$D,4,0)="","",VLOOKUP(A29,'Metering Ratio Score'!$A:$D,4,0)),"")</f>
        <v/>
      </c>
      <c r="AN29" s="37" t="str">
        <f>IFERROR(IF(VLOOKUP(A29,'Metering Ratio Score'!$A:$E,5,0)="","",VLOOKUP(A29,'Metering Ratio Score'!$A:$E,5,0)),"")</f>
        <v/>
      </c>
      <c r="AO29" s="37" t="str">
        <f>IFERROR(IF(VLOOKUP(A29,'Metering Ratio Score'!$A:$F,6,0)="","",VLOOKUP(A29,'Metering Ratio Score'!$A:$F,6,0)),"")</f>
        <v/>
      </c>
      <c r="AP29" s="37" t="str">
        <f>IFERROR(IF(VLOOKUP(A29,'Grievance Addressal'!$A:$C,3,0)="","",VLOOKUP(A29,'Grievance Addressal'!$A:$C,3,0)),"")</f>
        <v/>
      </c>
      <c r="AQ29" s="37" t="str">
        <f>IFERROR(IF(VLOOKUP(A29,'Grievance Addressal'!$A:$D,4,0)="","",VLOOKUP(A29,'Grievance Addressal'!$A:$D,4,0)),"")</f>
        <v>yes</v>
      </c>
      <c r="AR29" s="37" t="str">
        <f>IFERROR(IF(VLOOKUP(A29,'Grievance Addressal'!$A:$E,5,0)="","",VLOOKUP(A29,'Grievance Addressal'!$A:$E,5,0)),"")</f>
        <v xml:space="preserve"> </v>
      </c>
      <c r="AS29" s="37" t="str">
        <f>IFERROR(IF(VLOOKUP(A29,Summary_Index!$A$5:$N$281,7,0)="","",VLOOKUP(A29,Summary_Index!$A$5:$N$281,7,0)),"")</f>
        <v/>
      </c>
      <c r="AT29" s="37" t="str">
        <f>IFERROR(IF(VLOOKUP(A29,Summary_Index!$A$5:$N$281,12,0)="","",VLOOKUP(A29,Summary_Index!$A$5:$N$281,12,0)),"")</f>
        <v/>
      </c>
      <c r="AU29" s="37" t="str">
        <f>IFERROR(IF(VLOOKUP(A29,Summary_Index!$A$5:$N$281,13,0)="","",VLOOKUP(A29,Summary_Index!$A$5:$N$281,13,0)),"")</f>
        <v/>
      </c>
      <c r="AV29" s="37" t="str">
        <f>IFERROR(IF(VLOOKUP(A29,Summary_Index!$A$5:$N$281,14,0)="","",VLOOKUP(A29,Summary_Index!$A$5:$N$281,14,0)),"")</f>
        <v/>
      </c>
    </row>
    <row r="30" spans="1:48" ht="45.6" customHeight="1" x14ac:dyDescent="0.3">
      <c r="A30" s="37">
        <f>Spatial!A30</f>
        <v>29</v>
      </c>
      <c r="B30" s="37" t="str">
        <f>Spatial!B30</f>
        <v>Dudhikot_Brihat_WSUC</v>
      </c>
      <c r="C30" s="37" t="str">
        <f>Spatial!C30</f>
        <v>Bagmati</v>
      </c>
      <c r="D30" s="37" t="str">
        <f>Spatial!D30</f>
        <v>Bhaktapur</v>
      </c>
      <c r="E30" s="37" t="str">
        <f>Spatial!E30</f>
        <v>Municipality</v>
      </c>
      <c r="F30" s="37" t="str">
        <f>Spatial!F30</f>
        <v>Suryabinayak</v>
      </c>
      <c r="G30" s="37">
        <f>IFERROR(Spatial!G30,"")</f>
        <v>0</v>
      </c>
      <c r="H30" s="49">
        <v>27.671099999999999</v>
      </c>
      <c r="I30" s="37">
        <v>85.4298</v>
      </c>
      <c r="J30" s="37" t="str">
        <f t="shared" si="0"/>
        <v>Suryabinayak_Bhaktapur</v>
      </c>
      <c r="K30" s="37" t="str">
        <f>IFERROR(IF(VLOOKUP(A30,'Service Coverage'!$A:$C,3,0)="","",VLOOKUP(A30,'Service Coverage'!$A:$C,3,0)),"")</f>
        <v>Yes</v>
      </c>
      <c r="L30" s="37">
        <f>IFERROR(IF(VLOOKUP(A30,'Service Coverage'!$A:$D,4,0)="","",VLOOKUP(A30,'Service Coverage'!$A:$D,4,0)),"")</f>
        <v>4245</v>
      </c>
      <c r="M30" s="37" t="str">
        <f>IFERROR(IF(VLOOKUP(A30,'Service Coverage'!$A:$E,5,0)="","",VLOOKUP(A30,'Service Coverage'!$A:$E,5,0)),"")</f>
        <v/>
      </c>
      <c r="N30" s="37" t="str">
        <f>IFERROR(IF(VLOOKUP(A30,'Service Coverage'!$A:$F,6,0)="","",VLOOKUP(A30,'Service Coverage'!$A:$F,6,0)),"")</f>
        <v/>
      </c>
      <c r="O30" s="37" t="str">
        <f>IFERROR(IF(VLOOKUP(A30,'Service Coverage'!$A:$G,7,0)="","",VLOOKUP(A30,'Service Coverage'!$A:$G,7,0)),"")</f>
        <v/>
      </c>
      <c r="P30" s="37" t="str">
        <f>IFERROR(IF(VLOOKUP(A30,Adequacy!$A:$C,3,0)="","",VLOOKUP(A30,Adequacy!$A:$C,3,0)),"")</f>
        <v/>
      </c>
      <c r="Q30" s="37" t="str">
        <f>IFERROR(IF(VLOOKUP(A30,Adequacy!$A:$D,4,0)="","",VLOOKUP(A30,Adequacy!$A:$D,4,0)),"")</f>
        <v/>
      </c>
      <c r="R30" s="37" t="str">
        <f>IFERROR(IF(VLOOKUP(A30,Adequacy!$A:$E,5,0)="","",VLOOKUP(A30,Adequacy!$A:$E,5,0)),"")</f>
        <v/>
      </c>
      <c r="S30" s="37" t="str">
        <f>IFERROR(IF(VLOOKUP(A30,Adequacy!$A:$G,7,0)="","",VLOOKUP(A30,Adequacy!$A:$G,7,0)),"")</f>
        <v/>
      </c>
      <c r="T30" s="37" t="str">
        <f>IFERROR(IF(VLOOKUP(A30,Adequacy!$A:$H,8,0)="","",VLOOKUP(A30,Adequacy!$A:$H,8,0)),"")</f>
        <v xml:space="preserve"> </v>
      </c>
      <c r="U30" s="37" t="str">
        <f>IFERROR(IF(VLOOKUP(A30,Adequacy!$A:$J,10,0)="","",VLOOKUP(A30,Adequacy!$A:$J,10,0)),"")</f>
        <v/>
      </c>
      <c r="V30" s="37" t="str">
        <f>IFERROR(IF(VLOOKUP(A30,'Water Quality Score'!$A:$C,3,0)="","",VLOOKUP(A30,'Water Quality Score'!$A:$C,3,0)),"")</f>
        <v>yes</v>
      </c>
      <c r="W30" s="37" t="str">
        <f>IFERROR(IF(VLOOKUP(A30,'Water Quality Score'!$A:$D,4,0)="","",VLOOKUP(A30,'Water Quality Score'!$A:$D,4,0)),"")</f>
        <v/>
      </c>
      <c r="X30" s="37" t="str">
        <f>IFERROR(IF(VLOOKUP(A30,'Water Quality Score'!$A:$E,5,0)="","",VLOOKUP(A30,'Water Quality Score'!$A:$E,5,0)),"")</f>
        <v/>
      </c>
      <c r="Y30" s="37">
        <f>IFERROR(IF(VLOOKUP(A30,'Water Quality Score'!$A:$F,6,0)="","",VLOOKUP(A30,'Water Quality Score'!$A:$F,6,0)),"")</f>
        <v>0.2</v>
      </c>
      <c r="Z30" s="37" t="str">
        <f>IFERROR(IF(VLOOKUP(A30,'Reliability score'!$A:$C,3,0)="","",VLOOKUP(A30,'Reliability score'!$A:$C,3,0)),"")</f>
        <v/>
      </c>
      <c r="AA30" s="37" t="str">
        <f>IFERROR(IF(VLOOKUP(A30,'Reliability score'!$A:$D,4,0)="","",VLOOKUP(A30,'Reliability score'!$A:$D,4,0)),"")</f>
        <v xml:space="preserve"> </v>
      </c>
      <c r="AB30" s="37" t="str">
        <f>IFERROR(IF(VLOOKUP(A30,NRW!$A:$C,3,0)="","",VLOOKUP(A30,NRW!$A:$C,3,0)),"")</f>
        <v/>
      </c>
      <c r="AC30" s="37" t="str">
        <f>IFERROR(IF(VLOOKUP(A30,NRW!$A:$D,4,0)="","",VLOOKUP(A30,NRW!$A:$D,4,0)),"")</f>
        <v/>
      </c>
      <c r="AD30" s="37" t="str">
        <f>IFERROR(IF(VLOOKUP(A30,NRW!$A:$E,5,0)="","",VLOOKUP(A30,NRW!$A:$E,5,0)),"")</f>
        <v/>
      </c>
      <c r="AE30" s="37" t="str">
        <f>IFERROR(IF(VLOOKUP(A30,NRW!$A:$F,6,0)="","",VLOOKUP(A30,NRW!$A:$F,6,0)),"")</f>
        <v/>
      </c>
      <c r="AF30" s="37" t="str">
        <f>IFERROR(IF(VLOOKUP(A30,NRW!$A:$G,7,0)="","",VLOOKUP(A30,NRW!$A:$G,7,0)),"")</f>
        <v/>
      </c>
      <c r="AG30" s="37" t="str">
        <f>IFERROR(IF(OR(VLOOKUP(A30,NRW!$A:$H,8,0)="",VLOOKUP(A30,NRW!$A:$H,8,0)=0),"",VLOOKUP(A30,NRW!$A:$H,8,0)),"")</f>
        <v/>
      </c>
      <c r="AH30" s="37" t="str">
        <f>IFERROR(IF(VLOOKUP(A30,'O&amp;M score'!$A:$D,4,0)="","",VLOOKUP(A30,'O&amp;M score'!$A:$D,4,0)),"")</f>
        <v/>
      </c>
      <c r="AI30" s="37" t="str">
        <f>IFERROR(IF(VLOOKUP(A30,'O&amp;M score'!$A:$E,5,0)="","",VLOOKUP(A30,'O&amp;M score'!$A:$E,5,0)),"")</f>
        <v/>
      </c>
      <c r="AJ30" s="37" t="str">
        <f>IFERROR(IF(VLOOKUP(A30,'O&amp;M score'!$A:$F,6,0)="","",VLOOKUP(A30,'O&amp;M score'!$A:$F,6,0)),"")</f>
        <v/>
      </c>
      <c r="AK30" s="37" t="str">
        <f>IFERROR(IF(VLOOKUP(A30,'O&amp;M score'!$A:$G,7,0)="","",VLOOKUP(A30,'O&amp;M score'!$A:$G,7,0)),"")</f>
        <v/>
      </c>
      <c r="AL30" s="37">
        <f>IFERROR(IF(VLOOKUP(A30,'Metering Ratio Score'!$A:$C,3,0)="","",VLOOKUP(A30,'Metering Ratio Score'!$A:$C,3,0)),"")</f>
        <v>4245</v>
      </c>
      <c r="AM30" s="37" t="str">
        <f>IFERROR(IF(VLOOKUP(A30,'Metering Ratio Score'!$A:$D,4,0)="","",VLOOKUP(A30,'Metering Ratio Score'!$A:$D,4,0)),"")</f>
        <v/>
      </c>
      <c r="AN30" s="37" t="str">
        <f>IFERROR(IF(VLOOKUP(A30,'Metering Ratio Score'!$A:$E,5,0)="","",VLOOKUP(A30,'Metering Ratio Score'!$A:$E,5,0)),"")</f>
        <v/>
      </c>
      <c r="AO30" s="37" t="str">
        <f>IFERROR(IF(VLOOKUP(A30,'Metering Ratio Score'!$A:$F,6,0)="","",VLOOKUP(A30,'Metering Ratio Score'!$A:$F,6,0)),"")</f>
        <v/>
      </c>
      <c r="AP30" s="37" t="str">
        <f>IFERROR(IF(VLOOKUP(A30,'Grievance Addressal'!$A:$C,3,0)="","",VLOOKUP(A30,'Grievance Addressal'!$A:$C,3,0)),"")</f>
        <v/>
      </c>
      <c r="AQ30" s="37" t="str">
        <f>IFERROR(IF(VLOOKUP(A30,'Grievance Addressal'!$A:$D,4,0)="","",VLOOKUP(A30,'Grievance Addressal'!$A:$D,4,0)),"")</f>
        <v>yes</v>
      </c>
      <c r="AR30" s="37" t="str">
        <f>IFERROR(IF(VLOOKUP(A30,'Grievance Addressal'!$A:$E,5,0)="","",VLOOKUP(A30,'Grievance Addressal'!$A:$E,5,0)),"")</f>
        <v xml:space="preserve"> </v>
      </c>
      <c r="AS30" s="37" t="str">
        <f>IFERROR(IF(VLOOKUP(A30,Summary_Index!$A$5:$N$281,7,0)="","",VLOOKUP(A30,Summary_Index!$A$5:$N$281,7,0)),"")</f>
        <v/>
      </c>
      <c r="AT30" s="37" t="str">
        <f>IFERROR(IF(VLOOKUP(A30,Summary_Index!$A$5:$N$281,12,0)="","",VLOOKUP(A30,Summary_Index!$A$5:$N$281,12,0)),"")</f>
        <v/>
      </c>
      <c r="AU30" s="37" t="str">
        <f>IFERROR(IF(VLOOKUP(A30,Summary_Index!$A$5:$N$281,13,0)="","",VLOOKUP(A30,Summary_Index!$A$5:$N$281,13,0)),"")</f>
        <v/>
      </c>
      <c r="AV30" s="37" t="str">
        <f>IFERROR(IF(VLOOKUP(A30,Summary_Index!$A$5:$N$281,14,0)="","",VLOOKUP(A30,Summary_Index!$A$5:$N$281,14,0)),"")</f>
        <v/>
      </c>
    </row>
    <row r="31" spans="1:48" ht="45.6" customHeight="1" x14ac:dyDescent="0.3">
      <c r="A31" s="37">
        <f>Spatial!A31</f>
        <v>30</v>
      </c>
      <c r="B31" s="37" t="str">
        <f>Spatial!B31</f>
        <v>Diktel_WSUC</v>
      </c>
      <c r="C31" s="37">
        <f>Spatial!C31</f>
        <v>0</v>
      </c>
      <c r="D31" s="37" t="str">
        <f>Spatial!D31</f>
        <v>Khotang District</v>
      </c>
      <c r="E31" s="37" t="str">
        <f>Spatial!E31</f>
        <v>Municipality</v>
      </c>
      <c r="F31" s="37" t="str">
        <f>Spatial!F31</f>
        <v>Rupakot Majhuwagadi</v>
      </c>
      <c r="G31" s="37">
        <f>IFERROR(Spatial!G31,"")</f>
        <v>0</v>
      </c>
      <c r="H31" s="50">
        <v>27.2</v>
      </c>
      <c r="I31" s="37">
        <v>86.8</v>
      </c>
      <c r="J31" s="37" t="str">
        <f t="shared" si="0"/>
        <v>Rupakot Majhuwagadi_Khotang District</v>
      </c>
      <c r="K31" s="37" t="str">
        <f>IFERROR(IF(VLOOKUP(A31,'Service Coverage'!$A:$C,3,0)="","",VLOOKUP(A31,'Service Coverage'!$A:$C,3,0)),"")</f>
        <v>No</v>
      </c>
      <c r="L31" s="37">
        <f>IFERROR(IF(VLOOKUP(A31,'Service Coverage'!$A:$D,4,0)="","",VLOOKUP(A31,'Service Coverage'!$A:$D,4,0)),"")</f>
        <v>1120</v>
      </c>
      <c r="M31" s="37" t="str">
        <f>IFERROR(IF(VLOOKUP(A31,'Service Coverage'!$A:$E,5,0)="","",VLOOKUP(A31,'Service Coverage'!$A:$E,5,0)),"")</f>
        <v/>
      </c>
      <c r="N31" s="37" t="str">
        <f>IFERROR(IF(VLOOKUP(A31,'Service Coverage'!$A:$F,6,0)="","",VLOOKUP(A31,'Service Coverage'!$A:$F,6,0)),"")</f>
        <v/>
      </c>
      <c r="O31" s="37" t="str">
        <f>IFERROR(IF(VLOOKUP(A31,'Service Coverage'!$A:$G,7,0)="","",VLOOKUP(A31,'Service Coverage'!$A:$G,7,0)),"")</f>
        <v/>
      </c>
      <c r="P31" s="37" t="str">
        <f>IFERROR(IF(VLOOKUP(A31,Adequacy!$A:$C,3,0)="","",VLOOKUP(A31,Adequacy!$A:$C,3,0)),"")</f>
        <v/>
      </c>
      <c r="Q31" s="37" t="str">
        <f>IFERROR(IF(VLOOKUP(A31,Adequacy!$A:$D,4,0)="","",VLOOKUP(A31,Adequacy!$A:$D,4,0)),"")</f>
        <v/>
      </c>
      <c r="R31" s="37" t="str">
        <f>IFERROR(IF(VLOOKUP(A31,Adequacy!$A:$E,5,0)="","",VLOOKUP(A31,Adequacy!$A:$E,5,0)),"")</f>
        <v/>
      </c>
      <c r="S31" s="37" t="str">
        <f>IFERROR(IF(VLOOKUP(A31,Adequacy!$A:$G,7,0)="","",VLOOKUP(A31,Adequacy!$A:$G,7,0)),"")</f>
        <v/>
      </c>
      <c r="T31" s="37" t="str">
        <f>IFERROR(IF(VLOOKUP(A31,Adequacy!$A:$H,8,0)="","",VLOOKUP(A31,Adequacy!$A:$H,8,0)),"")</f>
        <v xml:space="preserve"> </v>
      </c>
      <c r="U31" s="37" t="str">
        <f>IFERROR(IF(VLOOKUP(A31,Adequacy!$A:$J,10,0)="","",VLOOKUP(A31,Adequacy!$A:$J,10,0)),"")</f>
        <v/>
      </c>
      <c r="V31" s="37" t="str">
        <f>IFERROR(IF(VLOOKUP(A31,'Water Quality Score'!$A:$C,3,0)="","",VLOOKUP(A31,'Water Quality Score'!$A:$C,3,0)),"")</f>
        <v>yes</v>
      </c>
      <c r="W31" s="37" t="str">
        <f>IFERROR(IF(VLOOKUP(A31,'Water Quality Score'!$A:$D,4,0)="","",VLOOKUP(A31,'Water Quality Score'!$A:$D,4,0)),"")</f>
        <v/>
      </c>
      <c r="X31" s="37" t="str">
        <f>IFERROR(IF(VLOOKUP(A31,'Water Quality Score'!$A:$E,5,0)="","",VLOOKUP(A31,'Water Quality Score'!$A:$E,5,0)),"")</f>
        <v/>
      </c>
      <c r="Y31" s="37">
        <f>IFERROR(IF(VLOOKUP(A31,'Water Quality Score'!$A:$F,6,0)="","",VLOOKUP(A31,'Water Quality Score'!$A:$F,6,0)),"")</f>
        <v>0.2</v>
      </c>
      <c r="Z31" s="37" t="str">
        <f>IFERROR(IF(VLOOKUP(A31,'Reliability score'!$A:$C,3,0)="","",VLOOKUP(A31,'Reliability score'!$A:$C,3,0)),"")</f>
        <v/>
      </c>
      <c r="AA31" s="37" t="str">
        <f>IFERROR(IF(VLOOKUP(A31,'Reliability score'!$A:$D,4,0)="","",VLOOKUP(A31,'Reliability score'!$A:$D,4,0)),"")</f>
        <v xml:space="preserve"> </v>
      </c>
      <c r="AB31" s="37" t="str">
        <f>IFERROR(IF(VLOOKUP(A31,NRW!$A:$C,3,0)="","",VLOOKUP(A31,NRW!$A:$C,3,0)),"")</f>
        <v/>
      </c>
      <c r="AC31" s="37" t="str">
        <f>IFERROR(IF(VLOOKUP(A31,NRW!$A:$D,4,0)="","",VLOOKUP(A31,NRW!$A:$D,4,0)),"")</f>
        <v/>
      </c>
      <c r="AD31" s="37" t="str">
        <f>IFERROR(IF(VLOOKUP(A31,NRW!$A:$E,5,0)="","",VLOOKUP(A31,NRW!$A:$E,5,0)),"")</f>
        <v/>
      </c>
      <c r="AE31" s="37" t="str">
        <f>IFERROR(IF(VLOOKUP(A31,NRW!$A:$F,6,0)="","",VLOOKUP(A31,NRW!$A:$F,6,0)),"")</f>
        <v/>
      </c>
      <c r="AF31" s="37" t="str">
        <f>IFERROR(IF(VLOOKUP(A31,NRW!$A:$G,7,0)="","",VLOOKUP(A31,NRW!$A:$G,7,0)),"")</f>
        <v/>
      </c>
      <c r="AG31" s="37" t="str">
        <f>IFERROR(IF(OR(VLOOKUP(A31,NRW!$A:$H,8,0)="",VLOOKUP(A31,NRW!$A:$H,8,0)=0),"",VLOOKUP(A31,NRW!$A:$H,8,0)),"")</f>
        <v/>
      </c>
      <c r="AH31" s="37" t="str">
        <f>IFERROR(IF(VLOOKUP(A31,'O&amp;M score'!$A:$D,4,0)="","",VLOOKUP(A31,'O&amp;M score'!$A:$D,4,0)),"")</f>
        <v/>
      </c>
      <c r="AI31" s="37" t="str">
        <f>IFERROR(IF(VLOOKUP(A31,'O&amp;M score'!$A:$E,5,0)="","",VLOOKUP(A31,'O&amp;M score'!$A:$E,5,0)),"")</f>
        <v/>
      </c>
      <c r="AJ31" s="37" t="str">
        <f>IFERROR(IF(VLOOKUP(A31,'O&amp;M score'!$A:$F,6,0)="","",VLOOKUP(A31,'O&amp;M score'!$A:$F,6,0)),"")</f>
        <v/>
      </c>
      <c r="AK31" s="37" t="str">
        <f>IFERROR(IF(VLOOKUP(A31,'O&amp;M score'!$A:$G,7,0)="","",VLOOKUP(A31,'O&amp;M score'!$A:$G,7,0)),"")</f>
        <v/>
      </c>
      <c r="AL31" s="37">
        <f>IFERROR(IF(VLOOKUP(A31,'Metering Ratio Score'!$A:$C,3,0)="","",VLOOKUP(A31,'Metering Ratio Score'!$A:$C,3,0)),"")</f>
        <v>1100</v>
      </c>
      <c r="AM31" s="37" t="str">
        <f>IFERROR(IF(VLOOKUP(A31,'Metering Ratio Score'!$A:$D,4,0)="","",VLOOKUP(A31,'Metering Ratio Score'!$A:$D,4,0)),"")</f>
        <v/>
      </c>
      <c r="AN31" s="37" t="str">
        <f>IFERROR(IF(VLOOKUP(A31,'Metering Ratio Score'!$A:$E,5,0)="","",VLOOKUP(A31,'Metering Ratio Score'!$A:$E,5,0)),"")</f>
        <v/>
      </c>
      <c r="AO31" s="37" t="str">
        <f>IFERROR(IF(VLOOKUP(A31,'Metering Ratio Score'!$A:$F,6,0)="","",VLOOKUP(A31,'Metering Ratio Score'!$A:$F,6,0)),"")</f>
        <v/>
      </c>
      <c r="AP31" s="37" t="str">
        <f>IFERROR(IF(VLOOKUP(A31,'Grievance Addressal'!$A:$C,3,0)="","",VLOOKUP(A31,'Grievance Addressal'!$A:$C,3,0)),"")</f>
        <v/>
      </c>
      <c r="AQ31" s="37" t="str">
        <f>IFERROR(IF(VLOOKUP(A31,'Grievance Addressal'!$A:$D,4,0)="","",VLOOKUP(A31,'Grievance Addressal'!$A:$D,4,0)),"")</f>
        <v>yes</v>
      </c>
      <c r="AR31" s="37" t="str">
        <f>IFERROR(IF(VLOOKUP(A31,'Grievance Addressal'!$A:$E,5,0)="","",VLOOKUP(A31,'Grievance Addressal'!$A:$E,5,0)),"")</f>
        <v xml:space="preserve"> </v>
      </c>
      <c r="AS31" s="37" t="str">
        <f>IFERROR(IF(VLOOKUP(A31,Summary_Index!$A$5:$N$281,7,0)="","",VLOOKUP(A31,Summary_Index!$A$5:$N$281,7,0)),"")</f>
        <v/>
      </c>
      <c r="AT31" s="37" t="str">
        <f>IFERROR(IF(VLOOKUP(A31,Summary_Index!$A$5:$N$281,12,0)="","",VLOOKUP(A31,Summary_Index!$A$5:$N$281,12,0)),"")</f>
        <v/>
      </c>
      <c r="AU31" s="37" t="str">
        <f>IFERROR(IF(VLOOKUP(A31,Summary_Index!$A$5:$N$281,13,0)="","",VLOOKUP(A31,Summary_Index!$A$5:$N$281,13,0)),"")</f>
        <v/>
      </c>
      <c r="AV31" s="37" t="str">
        <f>IFERROR(IF(VLOOKUP(A31,Summary_Index!$A$5:$N$281,14,0)="","",VLOOKUP(A31,Summary_Index!$A$5:$N$281,14,0)),"")</f>
        <v/>
      </c>
    </row>
    <row r="32" spans="1:48" ht="45.6" customHeight="1" x14ac:dyDescent="0.3">
      <c r="A32" s="37">
        <f>Spatial!A32</f>
        <v>31</v>
      </c>
      <c r="B32" s="37" t="str">
        <f>Spatial!B32</f>
        <v>Shuvaghat_WSUC</v>
      </c>
      <c r="C32" s="37">
        <f>Spatial!C32</f>
        <v>0</v>
      </c>
      <c r="D32" s="37">
        <f>Spatial!D32</f>
        <v>0</v>
      </c>
      <c r="E32" s="37" t="str">
        <f>Spatial!E32</f>
        <v>Municipality</v>
      </c>
      <c r="F32" s="37" t="str">
        <f>Spatial!F32</f>
        <v>Gurvakot</v>
      </c>
      <c r="G32" s="37">
        <f>IFERROR(Spatial!G32,"")</f>
        <v>0</v>
      </c>
      <c r="H32" s="49">
        <v>28.616700000000002</v>
      </c>
      <c r="I32" s="37">
        <v>81.633300000000006</v>
      </c>
      <c r="J32" s="37" t="str">
        <f t="shared" si="0"/>
        <v>Gurvakot_0</v>
      </c>
      <c r="K32" s="37" t="str">
        <f>IFERROR(IF(VLOOKUP(A32,'Service Coverage'!$A:$C,3,0)="","",VLOOKUP(A32,'Service Coverage'!$A:$C,3,0)),"")</f>
        <v>No</v>
      </c>
      <c r="L32" s="37">
        <f>IFERROR(IF(VLOOKUP(A32,'Service Coverage'!$A:$D,4,0)="","",VLOOKUP(A32,'Service Coverage'!$A:$D,4,0)),"")</f>
        <v>3245</v>
      </c>
      <c r="M32" s="37" t="str">
        <f>IFERROR(IF(VLOOKUP(A32,'Service Coverage'!$A:$E,5,0)="","",VLOOKUP(A32,'Service Coverage'!$A:$E,5,0)),"")</f>
        <v/>
      </c>
      <c r="N32" s="37" t="str">
        <f>IFERROR(IF(VLOOKUP(A32,'Service Coverage'!$A:$F,6,0)="","",VLOOKUP(A32,'Service Coverage'!$A:$F,6,0)),"")</f>
        <v/>
      </c>
      <c r="O32" s="37" t="str">
        <f>IFERROR(IF(VLOOKUP(A32,'Service Coverage'!$A:$G,7,0)="","",VLOOKUP(A32,'Service Coverage'!$A:$G,7,0)),"")</f>
        <v/>
      </c>
      <c r="P32" s="37" t="str">
        <f>IFERROR(IF(VLOOKUP(A32,Adequacy!$A:$C,3,0)="","",VLOOKUP(A32,Adequacy!$A:$C,3,0)),"")</f>
        <v/>
      </c>
      <c r="Q32" s="37" t="str">
        <f>IFERROR(IF(VLOOKUP(A32,Adequacy!$A:$D,4,0)="","",VLOOKUP(A32,Adequacy!$A:$D,4,0)),"")</f>
        <v/>
      </c>
      <c r="R32" s="37" t="str">
        <f>IFERROR(IF(VLOOKUP(A32,Adequacy!$A:$E,5,0)="","",VLOOKUP(A32,Adequacy!$A:$E,5,0)),"")</f>
        <v/>
      </c>
      <c r="S32" s="37" t="str">
        <f>IFERROR(IF(VLOOKUP(A32,Adequacy!$A:$G,7,0)="","",VLOOKUP(A32,Adequacy!$A:$G,7,0)),"")</f>
        <v/>
      </c>
      <c r="T32" s="37" t="str">
        <f>IFERROR(IF(VLOOKUP(A32,Adequacy!$A:$H,8,0)="","",VLOOKUP(A32,Adequacy!$A:$H,8,0)),"")</f>
        <v xml:space="preserve"> </v>
      </c>
      <c r="U32" s="37" t="str">
        <f>IFERROR(IF(VLOOKUP(A32,Adequacy!$A:$J,10,0)="","",VLOOKUP(A32,Adequacy!$A:$J,10,0)),"")</f>
        <v/>
      </c>
      <c r="V32" s="37" t="str">
        <f>IFERROR(IF(VLOOKUP(A32,'Water Quality Score'!$A:$C,3,0)="","",VLOOKUP(A32,'Water Quality Score'!$A:$C,3,0)),"")</f>
        <v>yes</v>
      </c>
      <c r="W32" s="37" t="str">
        <f>IFERROR(IF(VLOOKUP(A32,'Water Quality Score'!$A:$D,4,0)="","",VLOOKUP(A32,'Water Quality Score'!$A:$D,4,0)),"")</f>
        <v/>
      </c>
      <c r="X32" s="37" t="str">
        <f>IFERROR(IF(VLOOKUP(A32,'Water Quality Score'!$A:$E,5,0)="","",VLOOKUP(A32,'Water Quality Score'!$A:$E,5,0)),"")</f>
        <v/>
      </c>
      <c r="Y32" s="37">
        <f>IFERROR(IF(VLOOKUP(A32,'Water Quality Score'!$A:$F,6,0)="","",VLOOKUP(A32,'Water Quality Score'!$A:$F,6,0)),"")</f>
        <v>0.2</v>
      </c>
      <c r="Z32" s="37" t="str">
        <f>IFERROR(IF(VLOOKUP(A32,'Reliability score'!$A:$C,3,0)="","",VLOOKUP(A32,'Reliability score'!$A:$C,3,0)),"")</f>
        <v/>
      </c>
      <c r="AA32" s="37" t="str">
        <f>IFERROR(IF(VLOOKUP(A32,'Reliability score'!$A:$D,4,0)="","",VLOOKUP(A32,'Reliability score'!$A:$D,4,0)),"")</f>
        <v xml:space="preserve"> </v>
      </c>
      <c r="AB32" s="37" t="str">
        <f>IFERROR(IF(VLOOKUP(A32,NRW!$A:$C,3,0)="","",VLOOKUP(A32,NRW!$A:$C,3,0)),"")</f>
        <v/>
      </c>
      <c r="AC32" s="37" t="str">
        <f>IFERROR(IF(VLOOKUP(A32,NRW!$A:$D,4,0)="","",VLOOKUP(A32,NRW!$A:$D,4,0)),"")</f>
        <v/>
      </c>
      <c r="AD32" s="37" t="str">
        <f>IFERROR(IF(VLOOKUP(A32,NRW!$A:$E,5,0)="","",VLOOKUP(A32,NRW!$A:$E,5,0)),"")</f>
        <v/>
      </c>
      <c r="AE32" s="37" t="str">
        <f>IFERROR(IF(VLOOKUP(A32,NRW!$A:$F,6,0)="","",VLOOKUP(A32,NRW!$A:$F,6,0)),"")</f>
        <v/>
      </c>
      <c r="AF32" s="37" t="str">
        <f>IFERROR(IF(VLOOKUP(A32,NRW!$A:$G,7,0)="","",VLOOKUP(A32,NRW!$A:$G,7,0)),"")</f>
        <v/>
      </c>
      <c r="AG32" s="37" t="str">
        <f>IFERROR(IF(OR(VLOOKUP(A32,NRW!$A:$H,8,0)="",VLOOKUP(A32,NRW!$A:$H,8,0)=0),"",VLOOKUP(A32,NRW!$A:$H,8,0)),"")</f>
        <v/>
      </c>
      <c r="AH32" s="37" t="str">
        <f>IFERROR(IF(VLOOKUP(A32,'O&amp;M score'!$A:$D,4,0)="","",VLOOKUP(A32,'O&amp;M score'!$A:$D,4,0)),"")</f>
        <v/>
      </c>
      <c r="AI32" s="37" t="str">
        <f>IFERROR(IF(VLOOKUP(A32,'O&amp;M score'!$A:$E,5,0)="","",VLOOKUP(A32,'O&amp;M score'!$A:$E,5,0)),"")</f>
        <v/>
      </c>
      <c r="AJ32" s="37" t="str">
        <f>IFERROR(IF(VLOOKUP(A32,'O&amp;M score'!$A:$F,6,0)="","",VLOOKUP(A32,'O&amp;M score'!$A:$F,6,0)),"")</f>
        <v/>
      </c>
      <c r="AK32" s="37" t="str">
        <f>IFERROR(IF(VLOOKUP(A32,'O&amp;M score'!$A:$G,7,0)="","",VLOOKUP(A32,'O&amp;M score'!$A:$G,7,0)),"")</f>
        <v/>
      </c>
      <c r="AL32" s="37">
        <f>IFERROR(IF(VLOOKUP(A32,'Metering Ratio Score'!$A:$C,3,0)="","",VLOOKUP(A32,'Metering Ratio Score'!$A:$C,3,0)),"")</f>
        <v>3002</v>
      </c>
      <c r="AM32" s="37" t="str">
        <f>IFERROR(IF(VLOOKUP(A32,'Metering Ratio Score'!$A:$D,4,0)="","",VLOOKUP(A32,'Metering Ratio Score'!$A:$D,4,0)),"")</f>
        <v/>
      </c>
      <c r="AN32" s="37" t="str">
        <f>IFERROR(IF(VLOOKUP(A32,'Metering Ratio Score'!$A:$E,5,0)="","",VLOOKUP(A32,'Metering Ratio Score'!$A:$E,5,0)),"")</f>
        <v/>
      </c>
      <c r="AO32" s="37" t="str">
        <f>IFERROR(IF(VLOOKUP(A32,'Metering Ratio Score'!$A:$F,6,0)="","",VLOOKUP(A32,'Metering Ratio Score'!$A:$F,6,0)),"")</f>
        <v/>
      </c>
      <c r="AP32" s="37" t="str">
        <f>IFERROR(IF(VLOOKUP(A32,'Grievance Addressal'!$A:$C,3,0)="","",VLOOKUP(A32,'Grievance Addressal'!$A:$C,3,0)),"")</f>
        <v/>
      </c>
      <c r="AQ32" s="37" t="str">
        <f>IFERROR(IF(VLOOKUP(A32,'Grievance Addressal'!$A:$D,4,0)="","",VLOOKUP(A32,'Grievance Addressal'!$A:$D,4,0)),"")</f>
        <v>yes</v>
      </c>
      <c r="AR32" s="37" t="str">
        <f>IFERROR(IF(VLOOKUP(A32,'Grievance Addressal'!$A:$E,5,0)="","",VLOOKUP(A32,'Grievance Addressal'!$A:$E,5,0)),"")</f>
        <v xml:space="preserve"> </v>
      </c>
      <c r="AS32" s="37" t="str">
        <f>IFERROR(IF(VLOOKUP(A32,Summary_Index!$A$5:$N$281,7,0)="","",VLOOKUP(A32,Summary_Index!$A$5:$N$281,7,0)),"")</f>
        <v/>
      </c>
      <c r="AT32" s="37" t="str">
        <f>IFERROR(IF(VLOOKUP(A32,Summary_Index!$A$5:$N$281,12,0)="","",VLOOKUP(A32,Summary_Index!$A$5:$N$281,12,0)),"")</f>
        <v/>
      </c>
      <c r="AU32" s="37" t="str">
        <f>IFERROR(IF(VLOOKUP(A32,Summary_Index!$A$5:$N$281,13,0)="","",VLOOKUP(A32,Summary_Index!$A$5:$N$281,13,0)),"")</f>
        <v/>
      </c>
      <c r="AV32" s="37" t="str">
        <f>IFERROR(IF(VLOOKUP(A32,Summary_Index!$A$5:$N$281,14,0)="","",VLOOKUP(A32,Summary_Index!$A$5:$N$281,14,0)),"")</f>
        <v/>
      </c>
    </row>
    <row r="33" spans="1:48" ht="45.6" customHeight="1" x14ac:dyDescent="0.3">
      <c r="A33" s="37">
        <f>Spatial!A33</f>
        <v>32</v>
      </c>
      <c r="B33" s="37" t="str">
        <f>Spatial!B33</f>
        <v>Shivanagar_WSUC</v>
      </c>
      <c r="C33" s="37">
        <f>Spatial!C33</f>
        <v>0</v>
      </c>
      <c r="D33" s="37">
        <f>Spatial!D33</f>
        <v>0</v>
      </c>
      <c r="E33" s="37">
        <f>Spatial!E33</f>
        <v>0</v>
      </c>
      <c r="F33" s="37">
        <f>Spatial!F33</f>
        <v>0</v>
      </c>
      <c r="G33" s="37">
        <f>IFERROR(Spatial!G33,"")</f>
        <v>0</v>
      </c>
      <c r="H33" s="50">
        <v>26.85</v>
      </c>
      <c r="I33" s="37">
        <v>85.35</v>
      </c>
      <c r="J33" s="37" t="str">
        <f t="shared" si="0"/>
        <v>0_0</v>
      </c>
      <c r="K33" s="37" t="str">
        <f>IFERROR(IF(VLOOKUP(A33,'Service Coverage'!$A:$C,3,0)="","",VLOOKUP(A33,'Service Coverage'!$A:$C,3,0)),"")</f>
        <v>No</v>
      </c>
      <c r="L33" s="37">
        <f>IFERROR(IF(VLOOKUP(A33,'Service Coverage'!$A:$D,4,0)="","",VLOOKUP(A33,'Service Coverage'!$A:$D,4,0)),"")</f>
        <v>4200</v>
      </c>
      <c r="M33" s="37" t="str">
        <f>IFERROR(IF(VLOOKUP(A33,'Service Coverage'!$A:$E,5,0)="","",VLOOKUP(A33,'Service Coverage'!$A:$E,5,0)),"")</f>
        <v/>
      </c>
      <c r="N33" s="37" t="str">
        <f>IFERROR(IF(VLOOKUP(A33,'Service Coverage'!$A:$F,6,0)="","",VLOOKUP(A33,'Service Coverage'!$A:$F,6,0)),"")</f>
        <v/>
      </c>
      <c r="O33" s="37" t="str">
        <f>IFERROR(IF(VLOOKUP(A33,'Service Coverage'!$A:$G,7,0)="","",VLOOKUP(A33,'Service Coverage'!$A:$G,7,0)),"")</f>
        <v/>
      </c>
      <c r="P33" s="37" t="str">
        <f>IFERROR(IF(VLOOKUP(A33,Adequacy!$A:$C,3,0)="","",VLOOKUP(A33,Adequacy!$A:$C,3,0)),"")</f>
        <v/>
      </c>
      <c r="Q33" s="37" t="str">
        <f>IFERROR(IF(VLOOKUP(A33,Adequacy!$A:$D,4,0)="","",VLOOKUP(A33,Adequacy!$A:$D,4,0)),"")</f>
        <v/>
      </c>
      <c r="R33" s="37" t="str">
        <f>IFERROR(IF(VLOOKUP(A33,Adequacy!$A:$E,5,0)="","",VLOOKUP(A33,Adequacy!$A:$E,5,0)),"")</f>
        <v/>
      </c>
      <c r="S33" s="37" t="str">
        <f>IFERROR(IF(VLOOKUP(A33,Adequacy!$A:$G,7,0)="","",VLOOKUP(A33,Adequacy!$A:$G,7,0)),"")</f>
        <v/>
      </c>
      <c r="T33" s="37" t="str">
        <f>IFERROR(IF(VLOOKUP(A33,Adequacy!$A:$H,8,0)="","",VLOOKUP(A33,Adequacy!$A:$H,8,0)),"")</f>
        <v xml:space="preserve"> </v>
      </c>
      <c r="U33" s="37" t="str">
        <f>IFERROR(IF(VLOOKUP(A33,Adequacy!$A:$J,10,0)="","",VLOOKUP(A33,Adequacy!$A:$J,10,0)),"")</f>
        <v/>
      </c>
      <c r="V33" s="37" t="str">
        <f>IFERROR(IF(VLOOKUP(A33,'Water Quality Score'!$A:$C,3,0)="","",VLOOKUP(A33,'Water Quality Score'!$A:$C,3,0)),"")</f>
        <v>yes</v>
      </c>
      <c r="W33" s="37" t="str">
        <f>IFERROR(IF(VLOOKUP(A33,'Water Quality Score'!$A:$D,4,0)="","",VLOOKUP(A33,'Water Quality Score'!$A:$D,4,0)),"")</f>
        <v/>
      </c>
      <c r="X33" s="37" t="str">
        <f>IFERROR(IF(VLOOKUP(A33,'Water Quality Score'!$A:$E,5,0)="","",VLOOKUP(A33,'Water Quality Score'!$A:$E,5,0)),"")</f>
        <v/>
      </c>
      <c r="Y33" s="37">
        <f>IFERROR(IF(VLOOKUP(A33,'Water Quality Score'!$A:$F,6,0)="","",VLOOKUP(A33,'Water Quality Score'!$A:$F,6,0)),"")</f>
        <v>0.2</v>
      </c>
      <c r="Z33" s="37" t="str">
        <f>IFERROR(IF(VLOOKUP(A33,'Reliability score'!$A:$C,3,0)="","",VLOOKUP(A33,'Reliability score'!$A:$C,3,0)),"")</f>
        <v/>
      </c>
      <c r="AA33" s="37" t="str">
        <f>IFERROR(IF(VLOOKUP(A33,'Reliability score'!$A:$D,4,0)="","",VLOOKUP(A33,'Reliability score'!$A:$D,4,0)),"")</f>
        <v xml:space="preserve"> </v>
      </c>
      <c r="AB33" s="37" t="str">
        <f>IFERROR(IF(VLOOKUP(A33,NRW!$A:$C,3,0)="","",VLOOKUP(A33,NRW!$A:$C,3,0)),"")</f>
        <v/>
      </c>
      <c r="AC33" s="37" t="str">
        <f>IFERROR(IF(VLOOKUP(A33,NRW!$A:$D,4,0)="","",VLOOKUP(A33,NRW!$A:$D,4,0)),"")</f>
        <v/>
      </c>
      <c r="AD33" s="37" t="str">
        <f>IFERROR(IF(VLOOKUP(A33,NRW!$A:$E,5,0)="","",VLOOKUP(A33,NRW!$A:$E,5,0)),"")</f>
        <v/>
      </c>
      <c r="AE33" s="37" t="str">
        <f>IFERROR(IF(VLOOKUP(A33,NRW!$A:$F,6,0)="","",VLOOKUP(A33,NRW!$A:$F,6,0)),"")</f>
        <v/>
      </c>
      <c r="AF33" s="37" t="str">
        <f>IFERROR(IF(VLOOKUP(A33,NRW!$A:$G,7,0)="","",VLOOKUP(A33,NRW!$A:$G,7,0)),"")</f>
        <v/>
      </c>
      <c r="AG33" s="37" t="str">
        <f>IFERROR(IF(OR(VLOOKUP(A33,NRW!$A:$H,8,0)="",VLOOKUP(A33,NRW!$A:$H,8,0)=0),"",VLOOKUP(A33,NRW!$A:$H,8,0)),"")</f>
        <v/>
      </c>
      <c r="AH33" s="37" t="str">
        <f>IFERROR(IF(VLOOKUP(A33,'O&amp;M score'!$A:$D,4,0)="","",VLOOKUP(A33,'O&amp;M score'!$A:$D,4,0)),"")</f>
        <v/>
      </c>
      <c r="AI33" s="37" t="str">
        <f>IFERROR(IF(VLOOKUP(A33,'O&amp;M score'!$A:$E,5,0)="","",VLOOKUP(A33,'O&amp;M score'!$A:$E,5,0)),"")</f>
        <v/>
      </c>
      <c r="AJ33" s="37" t="str">
        <f>IFERROR(IF(VLOOKUP(A33,'O&amp;M score'!$A:$F,6,0)="","",VLOOKUP(A33,'O&amp;M score'!$A:$F,6,0)),"")</f>
        <v/>
      </c>
      <c r="AK33" s="37" t="str">
        <f>IFERROR(IF(VLOOKUP(A33,'O&amp;M score'!$A:$G,7,0)="","",VLOOKUP(A33,'O&amp;M score'!$A:$G,7,0)),"")</f>
        <v/>
      </c>
      <c r="AL33" s="37">
        <f>IFERROR(IF(VLOOKUP(A33,'Metering Ratio Score'!$A:$C,3,0)="","",VLOOKUP(A33,'Metering Ratio Score'!$A:$C,3,0)),"")</f>
        <v>4200</v>
      </c>
      <c r="AM33" s="37" t="str">
        <f>IFERROR(IF(VLOOKUP(A33,'Metering Ratio Score'!$A:$D,4,0)="","",VLOOKUP(A33,'Metering Ratio Score'!$A:$D,4,0)),"")</f>
        <v/>
      </c>
      <c r="AN33" s="37" t="str">
        <f>IFERROR(IF(VLOOKUP(A33,'Metering Ratio Score'!$A:$E,5,0)="","",VLOOKUP(A33,'Metering Ratio Score'!$A:$E,5,0)),"")</f>
        <v/>
      </c>
      <c r="AO33" s="37" t="str">
        <f>IFERROR(IF(VLOOKUP(A33,'Metering Ratio Score'!$A:$F,6,0)="","",VLOOKUP(A33,'Metering Ratio Score'!$A:$F,6,0)),"")</f>
        <v/>
      </c>
      <c r="AP33" s="37" t="str">
        <f>IFERROR(IF(VLOOKUP(A33,'Grievance Addressal'!$A:$C,3,0)="","",VLOOKUP(A33,'Grievance Addressal'!$A:$C,3,0)),"")</f>
        <v/>
      </c>
      <c r="AQ33" s="37" t="str">
        <f>IFERROR(IF(VLOOKUP(A33,'Grievance Addressal'!$A:$D,4,0)="","",VLOOKUP(A33,'Grievance Addressal'!$A:$D,4,0)),"")</f>
        <v>yes</v>
      </c>
      <c r="AR33" s="37" t="str">
        <f>IFERROR(IF(VLOOKUP(A33,'Grievance Addressal'!$A:$E,5,0)="","",VLOOKUP(A33,'Grievance Addressal'!$A:$E,5,0)),"")</f>
        <v xml:space="preserve"> </v>
      </c>
      <c r="AS33" s="37" t="str">
        <f>IFERROR(IF(VLOOKUP(A33,Summary_Index!$A$5:$N$281,7,0)="","",VLOOKUP(A33,Summary_Index!$A$5:$N$281,7,0)),"")</f>
        <v/>
      </c>
      <c r="AT33" s="37" t="str">
        <f>IFERROR(IF(VLOOKUP(A33,Summary_Index!$A$5:$N$281,12,0)="","",VLOOKUP(A33,Summary_Index!$A$5:$N$281,12,0)),"")</f>
        <v/>
      </c>
      <c r="AU33" s="37" t="str">
        <f>IFERROR(IF(VLOOKUP(A33,Summary_Index!$A$5:$N$281,13,0)="","",VLOOKUP(A33,Summary_Index!$A$5:$N$281,13,0)),"")</f>
        <v/>
      </c>
      <c r="AV33" s="37" t="str">
        <f>IFERROR(IF(VLOOKUP(A33,Summary_Index!$A$5:$N$281,14,0)="","",VLOOKUP(A33,Summary_Index!$A$5:$N$281,14,0)),"")</f>
        <v/>
      </c>
    </row>
    <row r="34" spans="1:48" ht="45.6" customHeight="1" x14ac:dyDescent="0.3">
      <c r="A34" s="37">
        <f>Spatial!A34</f>
        <v>33</v>
      </c>
      <c r="B34" s="37" t="str">
        <f>Spatial!B34</f>
        <v>Kusma_WSUC</v>
      </c>
      <c r="C34" s="37">
        <f>Spatial!C34</f>
        <v>0</v>
      </c>
      <c r="D34" s="37" t="str">
        <f>Spatial!D34</f>
        <v>Parbat District</v>
      </c>
      <c r="E34" s="37">
        <f>Spatial!E34</f>
        <v>0</v>
      </c>
      <c r="F34" s="37">
        <f>Spatial!F34</f>
        <v>0</v>
      </c>
      <c r="G34" s="37">
        <f>IFERROR(Spatial!G34,"")</f>
        <v>0</v>
      </c>
      <c r="H34" s="49">
        <v>28.18</v>
      </c>
      <c r="I34" s="37">
        <v>83.99</v>
      </c>
      <c r="J34" s="37" t="str">
        <f t="shared" si="0"/>
        <v>0_Parbat District</v>
      </c>
      <c r="K34" s="37" t="str">
        <f>IFERROR(IF(VLOOKUP(A34,'Service Coverage'!$A:$C,3,0)="","",VLOOKUP(A34,'Service Coverage'!$A:$C,3,0)),"")</f>
        <v>No</v>
      </c>
      <c r="L34" s="37">
        <f>IFERROR(IF(VLOOKUP(A34,'Service Coverage'!$A:$D,4,0)="","",VLOOKUP(A34,'Service Coverage'!$A:$D,4,0)),"")</f>
        <v>2800</v>
      </c>
      <c r="M34" s="37" t="str">
        <f>IFERROR(IF(VLOOKUP(A34,'Service Coverage'!$A:$E,5,0)="","",VLOOKUP(A34,'Service Coverage'!$A:$E,5,0)),"")</f>
        <v/>
      </c>
      <c r="N34" s="37" t="str">
        <f>IFERROR(IF(VLOOKUP(A34,'Service Coverage'!$A:$F,6,0)="","",VLOOKUP(A34,'Service Coverage'!$A:$F,6,0)),"")</f>
        <v/>
      </c>
      <c r="O34" s="37" t="str">
        <f>IFERROR(IF(VLOOKUP(A34,'Service Coverage'!$A:$G,7,0)="","",VLOOKUP(A34,'Service Coverage'!$A:$G,7,0)),"")</f>
        <v/>
      </c>
      <c r="P34" s="37" t="str">
        <f>IFERROR(IF(VLOOKUP(A34,Adequacy!$A:$C,3,0)="","",VLOOKUP(A34,Adequacy!$A:$C,3,0)),"")</f>
        <v/>
      </c>
      <c r="Q34" s="37" t="str">
        <f>IFERROR(IF(VLOOKUP(A34,Adequacy!$A:$D,4,0)="","",VLOOKUP(A34,Adequacy!$A:$D,4,0)),"")</f>
        <v/>
      </c>
      <c r="R34" s="37" t="str">
        <f>IFERROR(IF(VLOOKUP(A34,Adequacy!$A:$E,5,0)="","",VLOOKUP(A34,Adequacy!$A:$E,5,0)),"")</f>
        <v/>
      </c>
      <c r="S34" s="37" t="str">
        <f>IFERROR(IF(VLOOKUP(A34,Adequacy!$A:$G,7,0)="","",VLOOKUP(A34,Adequacy!$A:$G,7,0)),"")</f>
        <v/>
      </c>
      <c r="T34" s="37" t="str">
        <f>IFERROR(IF(VLOOKUP(A34,Adequacy!$A:$H,8,0)="","",VLOOKUP(A34,Adequacy!$A:$H,8,0)),"")</f>
        <v xml:space="preserve"> </v>
      </c>
      <c r="U34" s="37" t="str">
        <f>IFERROR(IF(VLOOKUP(A34,Adequacy!$A:$J,10,0)="","",VLOOKUP(A34,Adequacy!$A:$J,10,0)),"")</f>
        <v/>
      </c>
      <c r="V34" s="37" t="str">
        <f>IFERROR(IF(VLOOKUP(A34,'Water Quality Score'!$A:$C,3,0)="","",VLOOKUP(A34,'Water Quality Score'!$A:$C,3,0)),"")</f>
        <v>yes</v>
      </c>
      <c r="W34" s="37" t="str">
        <f>IFERROR(IF(VLOOKUP(A34,'Water Quality Score'!$A:$D,4,0)="","",VLOOKUP(A34,'Water Quality Score'!$A:$D,4,0)),"")</f>
        <v/>
      </c>
      <c r="X34" s="37" t="str">
        <f>IFERROR(IF(VLOOKUP(A34,'Water Quality Score'!$A:$E,5,0)="","",VLOOKUP(A34,'Water Quality Score'!$A:$E,5,0)),"")</f>
        <v/>
      </c>
      <c r="Y34" s="37">
        <f>IFERROR(IF(VLOOKUP(A34,'Water Quality Score'!$A:$F,6,0)="","",VLOOKUP(A34,'Water Quality Score'!$A:$F,6,0)),"")</f>
        <v>0.2</v>
      </c>
      <c r="Z34" s="37" t="str">
        <f>IFERROR(IF(VLOOKUP(A34,'Reliability score'!$A:$C,3,0)="","",VLOOKUP(A34,'Reliability score'!$A:$C,3,0)),"")</f>
        <v/>
      </c>
      <c r="AA34" s="37" t="str">
        <f>IFERROR(IF(VLOOKUP(A34,'Reliability score'!$A:$D,4,0)="","",VLOOKUP(A34,'Reliability score'!$A:$D,4,0)),"")</f>
        <v xml:space="preserve"> </v>
      </c>
      <c r="AB34" s="37" t="str">
        <f>IFERROR(IF(VLOOKUP(A34,NRW!$A:$C,3,0)="","",VLOOKUP(A34,NRW!$A:$C,3,0)),"")</f>
        <v/>
      </c>
      <c r="AC34" s="37" t="str">
        <f>IFERROR(IF(VLOOKUP(A34,NRW!$A:$D,4,0)="","",VLOOKUP(A34,NRW!$A:$D,4,0)),"")</f>
        <v/>
      </c>
      <c r="AD34" s="37" t="str">
        <f>IFERROR(IF(VLOOKUP(A34,NRW!$A:$E,5,0)="","",VLOOKUP(A34,NRW!$A:$E,5,0)),"")</f>
        <v/>
      </c>
      <c r="AE34" s="37" t="str">
        <f>IFERROR(IF(VLOOKUP(A34,NRW!$A:$F,6,0)="","",VLOOKUP(A34,NRW!$A:$F,6,0)),"")</f>
        <v/>
      </c>
      <c r="AF34" s="37" t="str">
        <f>IFERROR(IF(VLOOKUP(A34,NRW!$A:$G,7,0)="","",VLOOKUP(A34,NRW!$A:$G,7,0)),"")</f>
        <v/>
      </c>
      <c r="AG34" s="37" t="str">
        <f>IFERROR(IF(OR(VLOOKUP(A34,NRW!$A:$H,8,0)="",VLOOKUP(A34,NRW!$A:$H,8,0)=0),"",VLOOKUP(A34,NRW!$A:$H,8,0)),"")</f>
        <v/>
      </c>
      <c r="AH34" s="37" t="str">
        <f>IFERROR(IF(VLOOKUP(A34,'O&amp;M score'!$A:$D,4,0)="","",VLOOKUP(A34,'O&amp;M score'!$A:$D,4,0)),"")</f>
        <v/>
      </c>
      <c r="AI34" s="37" t="str">
        <f>IFERROR(IF(VLOOKUP(A34,'O&amp;M score'!$A:$E,5,0)="","",VLOOKUP(A34,'O&amp;M score'!$A:$E,5,0)),"")</f>
        <v/>
      </c>
      <c r="AJ34" s="37" t="str">
        <f>IFERROR(IF(VLOOKUP(A34,'O&amp;M score'!$A:$F,6,0)="","",VLOOKUP(A34,'O&amp;M score'!$A:$F,6,0)),"")</f>
        <v/>
      </c>
      <c r="AK34" s="37" t="str">
        <f>IFERROR(IF(VLOOKUP(A34,'O&amp;M score'!$A:$G,7,0)="","",VLOOKUP(A34,'O&amp;M score'!$A:$G,7,0)),"")</f>
        <v/>
      </c>
      <c r="AL34" s="37">
        <f>IFERROR(IF(VLOOKUP(A34,'Metering Ratio Score'!$A:$C,3,0)="","",VLOOKUP(A34,'Metering Ratio Score'!$A:$C,3,0)),"")</f>
        <v>2800</v>
      </c>
      <c r="AM34" s="37" t="str">
        <f>IFERROR(IF(VLOOKUP(A34,'Metering Ratio Score'!$A:$D,4,0)="","",VLOOKUP(A34,'Metering Ratio Score'!$A:$D,4,0)),"")</f>
        <v/>
      </c>
      <c r="AN34" s="37" t="str">
        <f>IFERROR(IF(VLOOKUP(A34,'Metering Ratio Score'!$A:$E,5,0)="","",VLOOKUP(A34,'Metering Ratio Score'!$A:$E,5,0)),"")</f>
        <v/>
      </c>
      <c r="AO34" s="37" t="str">
        <f>IFERROR(IF(VLOOKUP(A34,'Metering Ratio Score'!$A:$F,6,0)="","",VLOOKUP(A34,'Metering Ratio Score'!$A:$F,6,0)),"")</f>
        <v/>
      </c>
      <c r="AP34" s="37" t="str">
        <f>IFERROR(IF(VLOOKUP(A34,'Grievance Addressal'!$A:$C,3,0)="","",VLOOKUP(A34,'Grievance Addressal'!$A:$C,3,0)),"")</f>
        <v/>
      </c>
      <c r="AQ34" s="37" t="str">
        <f>IFERROR(IF(VLOOKUP(A34,'Grievance Addressal'!$A:$D,4,0)="","",VLOOKUP(A34,'Grievance Addressal'!$A:$D,4,0)),"")</f>
        <v>yes</v>
      </c>
      <c r="AR34" s="37" t="str">
        <f>IFERROR(IF(VLOOKUP(A34,'Grievance Addressal'!$A:$E,5,0)="","",VLOOKUP(A34,'Grievance Addressal'!$A:$E,5,0)),"")</f>
        <v xml:space="preserve"> </v>
      </c>
      <c r="AS34" s="37" t="str">
        <f>IFERROR(IF(VLOOKUP(A34,Summary_Index!$A$5:$N$281,7,0)="","",VLOOKUP(A34,Summary_Index!$A$5:$N$281,7,0)),"")</f>
        <v/>
      </c>
      <c r="AT34" s="37" t="str">
        <f>IFERROR(IF(VLOOKUP(A34,Summary_Index!$A$5:$N$281,12,0)="","",VLOOKUP(A34,Summary_Index!$A$5:$N$281,12,0)),"")</f>
        <v/>
      </c>
      <c r="AU34" s="37" t="str">
        <f>IFERROR(IF(VLOOKUP(A34,Summary_Index!$A$5:$N$281,13,0)="","",VLOOKUP(A34,Summary_Index!$A$5:$N$281,13,0)),"")</f>
        <v/>
      </c>
      <c r="AV34" s="37" t="str">
        <f>IFERROR(IF(VLOOKUP(A34,Summary_Index!$A$5:$N$281,14,0)="","",VLOOKUP(A34,Summary_Index!$A$5:$N$281,14,0)),"")</f>
        <v/>
      </c>
    </row>
    <row r="35" spans="1:48" ht="45.6" customHeight="1" x14ac:dyDescent="0.3">
      <c r="A35" s="37">
        <f>Spatial!A35</f>
        <v>34</v>
      </c>
      <c r="B35" s="37" t="str">
        <f>Spatial!B35</f>
        <v>Ghorahi_WSUC</v>
      </c>
      <c r="C35" s="37">
        <f>Spatial!C35</f>
        <v>0</v>
      </c>
      <c r="D35" s="37">
        <f>Spatial!D35</f>
        <v>0</v>
      </c>
      <c r="E35" s="37" t="str">
        <f>Spatial!E35</f>
        <v>Municipality</v>
      </c>
      <c r="F35" s="37" t="str">
        <f>Spatial!F35</f>
        <v>Dang</v>
      </c>
      <c r="G35" s="37">
        <f>IFERROR(Spatial!G35,"")</f>
        <v>0</v>
      </c>
      <c r="H35" s="50">
        <v>28.033300000000001</v>
      </c>
      <c r="I35" s="37">
        <v>82.4833</v>
      </c>
      <c r="J35" s="37" t="str">
        <f t="shared" si="0"/>
        <v>Dang_0</v>
      </c>
      <c r="K35" s="37" t="str">
        <f>IFERROR(IF(VLOOKUP(A35,'Service Coverage'!$A:$C,3,0)="","",VLOOKUP(A35,'Service Coverage'!$A:$C,3,0)),"")</f>
        <v>No</v>
      </c>
      <c r="L35" s="37">
        <f>IFERROR(IF(VLOOKUP(A35,'Service Coverage'!$A:$D,4,0)="","",VLOOKUP(A35,'Service Coverage'!$A:$D,4,0)),"")</f>
        <v>8385</v>
      </c>
      <c r="M35" s="37" t="str">
        <f>IFERROR(IF(VLOOKUP(A35,'Service Coverage'!$A:$E,5,0)="","",VLOOKUP(A35,'Service Coverage'!$A:$E,5,0)),"")</f>
        <v/>
      </c>
      <c r="N35" s="37" t="str">
        <f>IFERROR(IF(VLOOKUP(A35,'Service Coverage'!$A:$F,6,0)="","",VLOOKUP(A35,'Service Coverage'!$A:$F,6,0)),"")</f>
        <v/>
      </c>
      <c r="O35" s="37" t="str">
        <f>IFERROR(IF(VLOOKUP(A35,'Service Coverage'!$A:$G,7,0)="","",VLOOKUP(A35,'Service Coverage'!$A:$G,7,0)),"")</f>
        <v/>
      </c>
      <c r="P35" s="37" t="str">
        <f>IFERROR(IF(VLOOKUP(A35,Adequacy!$A:$C,3,0)="","",VLOOKUP(A35,Adequacy!$A:$C,3,0)),"")</f>
        <v/>
      </c>
      <c r="Q35" s="37" t="str">
        <f>IFERROR(IF(VLOOKUP(A35,Adequacy!$A:$D,4,0)="","",VLOOKUP(A35,Adequacy!$A:$D,4,0)),"")</f>
        <v/>
      </c>
      <c r="R35" s="37" t="str">
        <f>IFERROR(IF(VLOOKUP(A35,Adequacy!$A:$E,5,0)="","",VLOOKUP(A35,Adequacy!$A:$E,5,0)),"")</f>
        <v/>
      </c>
      <c r="S35" s="37" t="str">
        <f>IFERROR(IF(VLOOKUP(A35,Adequacy!$A:$G,7,0)="","",VLOOKUP(A35,Adequacy!$A:$G,7,0)),"")</f>
        <v/>
      </c>
      <c r="T35" s="37" t="str">
        <f>IFERROR(IF(VLOOKUP(A35,Adequacy!$A:$H,8,0)="","",VLOOKUP(A35,Adequacy!$A:$H,8,0)),"")</f>
        <v xml:space="preserve"> </v>
      </c>
      <c r="U35" s="37" t="str">
        <f>IFERROR(IF(VLOOKUP(A35,Adequacy!$A:$J,10,0)="","",VLOOKUP(A35,Adequacy!$A:$J,10,0)),"")</f>
        <v/>
      </c>
      <c r="V35" s="37" t="str">
        <f>IFERROR(IF(VLOOKUP(A35,'Water Quality Score'!$A:$C,3,0)="","",VLOOKUP(A35,'Water Quality Score'!$A:$C,3,0)),"")</f>
        <v>yes</v>
      </c>
      <c r="W35" s="37" t="str">
        <f>IFERROR(IF(VLOOKUP(A35,'Water Quality Score'!$A:$D,4,0)="","",VLOOKUP(A35,'Water Quality Score'!$A:$D,4,0)),"")</f>
        <v/>
      </c>
      <c r="X35" s="37" t="str">
        <f>IFERROR(IF(VLOOKUP(A35,'Water Quality Score'!$A:$E,5,0)="","",VLOOKUP(A35,'Water Quality Score'!$A:$E,5,0)),"")</f>
        <v/>
      </c>
      <c r="Y35" s="37">
        <f>IFERROR(IF(VLOOKUP(A35,'Water Quality Score'!$A:$F,6,0)="","",VLOOKUP(A35,'Water Quality Score'!$A:$F,6,0)),"")</f>
        <v>0.2</v>
      </c>
      <c r="Z35" s="37" t="str">
        <f>IFERROR(IF(VLOOKUP(A35,'Reliability score'!$A:$C,3,0)="","",VLOOKUP(A35,'Reliability score'!$A:$C,3,0)),"")</f>
        <v/>
      </c>
      <c r="AA35" s="37" t="str">
        <f>IFERROR(IF(VLOOKUP(A35,'Reliability score'!$A:$D,4,0)="","",VLOOKUP(A35,'Reliability score'!$A:$D,4,0)),"")</f>
        <v xml:space="preserve"> </v>
      </c>
      <c r="AB35" s="37" t="str">
        <f>IFERROR(IF(VLOOKUP(A35,NRW!$A:$C,3,0)="","",VLOOKUP(A35,NRW!$A:$C,3,0)),"")</f>
        <v/>
      </c>
      <c r="AC35" s="37" t="str">
        <f>IFERROR(IF(VLOOKUP(A35,NRW!$A:$D,4,0)="","",VLOOKUP(A35,NRW!$A:$D,4,0)),"")</f>
        <v/>
      </c>
      <c r="AD35" s="37" t="str">
        <f>IFERROR(IF(VLOOKUP(A35,NRW!$A:$E,5,0)="","",VLOOKUP(A35,NRW!$A:$E,5,0)),"")</f>
        <v/>
      </c>
      <c r="AE35" s="37" t="str">
        <f>IFERROR(IF(VLOOKUP(A35,NRW!$A:$F,6,0)="","",VLOOKUP(A35,NRW!$A:$F,6,0)),"")</f>
        <v/>
      </c>
      <c r="AF35" s="37" t="str">
        <f>IFERROR(IF(VLOOKUP(A35,NRW!$A:$G,7,0)="","",VLOOKUP(A35,NRW!$A:$G,7,0)),"")</f>
        <v/>
      </c>
      <c r="AG35" s="37" t="str">
        <f>IFERROR(IF(OR(VLOOKUP(A35,NRW!$A:$H,8,0)="",VLOOKUP(A35,NRW!$A:$H,8,0)=0),"",VLOOKUP(A35,NRW!$A:$H,8,0)),"")</f>
        <v/>
      </c>
      <c r="AH35" s="37" t="str">
        <f>IFERROR(IF(VLOOKUP(A35,'O&amp;M score'!$A:$D,4,0)="","",VLOOKUP(A35,'O&amp;M score'!$A:$D,4,0)),"")</f>
        <v/>
      </c>
      <c r="AI35" s="37" t="str">
        <f>IFERROR(IF(VLOOKUP(A35,'O&amp;M score'!$A:$E,5,0)="","",VLOOKUP(A35,'O&amp;M score'!$A:$E,5,0)),"")</f>
        <v/>
      </c>
      <c r="AJ35" s="37" t="str">
        <f>IFERROR(IF(VLOOKUP(A35,'O&amp;M score'!$A:$F,6,0)="","",VLOOKUP(A35,'O&amp;M score'!$A:$F,6,0)),"")</f>
        <v/>
      </c>
      <c r="AK35" s="37" t="str">
        <f>IFERROR(IF(VLOOKUP(A35,'O&amp;M score'!$A:$G,7,0)="","",VLOOKUP(A35,'O&amp;M score'!$A:$G,7,0)),"")</f>
        <v/>
      </c>
      <c r="AL35" s="37">
        <f>IFERROR(IF(VLOOKUP(A35,'Metering Ratio Score'!$A:$C,3,0)="","",VLOOKUP(A35,'Metering Ratio Score'!$A:$C,3,0)),"")</f>
        <v>8300</v>
      </c>
      <c r="AM35" s="37" t="str">
        <f>IFERROR(IF(VLOOKUP(A35,'Metering Ratio Score'!$A:$D,4,0)="","",VLOOKUP(A35,'Metering Ratio Score'!$A:$D,4,0)),"")</f>
        <v/>
      </c>
      <c r="AN35" s="37" t="str">
        <f>IFERROR(IF(VLOOKUP(A35,'Metering Ratio Score'!$A:$E,5,0)="","",VLOOKUP(A35,'Metering Ratio Score'!$A:$E,5,0)),"")</f>
        <v/>
      </c>
      <c r="AO35" s="37" t="str">
        <f>IFERROR(IF(VLOOKUP(A35,'Metering Ratio Score'!$A:$F,6,0)="","",VLOOKUP(A35,'Metering Ratio Score'!$A:$F,6,0)),"")</f>
        <v/>
      </c>
      <c r="AP35" s="37" t="str">
        <f>IFERROR(IF(VLOOKUP(A35,'Grievance Addressal'!$A:$C,3,0)="","",VLOOKUP(A35,'Grievance Addressal'!$A:$C,3,0)),"")</f>
        <v/>
      </c>
      <c r="AQ35" s="37" t="str">
        <f>IFERROR(IF(VLOOKUP(A35,'Grievance Addressal'!$A:$D,4,0)="","",VLOOKUP(A35,'Grievance Addressal'!$A:$D,4,0)),"")</f>
        <v>yes</v>
      </c>
      <c r="AR35" s="37" t="str">
        <f>IFERROR(IF(VLOOKUP(A35,'Grievance Addressal'!$A:$E,5,0)="","",VLOOKUP(A35,'Grievance Addressal'!$A:$E,5,0)),"")</f>
        <v xml:space="preserve"> </v>
      </c>
      <c r="AS35" s="37" t="str">
        <f>IFERROR(IF(VLOOKUP(A35,Summary_Index!$A$5:$N$281,7,0)="","",VLOOKUP(A35,Summary_Index!$A$5:$N$281,7,0)),"")</f>
        <v/>
      </c>
      <c r="AT35" s="37" t="str">
        <f>IFERROR(IF(VLOOKUP(A35,Summary_Index!$A$5:$N$281,12,0)="","",VLOOKUP(A35,Summary_Index!$A$5:$N$281,12,0)),"")</f>
        <v/>
      </c>
      <c r="AU35" s="37" t="str">
        <f>IFERROR(IF(VLOOKUP(A35,Summary_Index!$A$5:$N$281,13,0)="","",VLOOKUP(A35,Summary_Index!$A$5:$N$281,13,0)),"")</f>
        <v/>
      </c>
      <c r="AV35" s="37" t="str">
        <f>IFERROR(IF(VLOOKUP(A35,Summary_Index!$A$5:$N$281,14,0)="","",VLOOKUP(A35,Summary_Index!$A$5:$N$281,14,0)),"")</f>
        <v/>
      </c>
    </row>
    <row r="36" spans="1:48" ht="45.6" customHeight="1" x14ac:dyDescent="0.3">
      <c r="A36" s="37">
        <f>Spatial!A36</f>
        <v>35</v>
      </c>
      <c r="B36" s="53" t="s">
        <v>283</v>
      </c>
      <c r="C36" s="37" t="str">
        <f>Spatial!C36</f>
        <v>Koshi</v>
      </c>
      <c r="D36" s="37" t="str">
        <f>Spatial!D36</f>
        <v>Panchthar District</v>
      </c>
      <c r="E36" s="37" t="str">
        <f>Spatial!E36</f>
        <v>Rural municipality</v>
      </c>
      <c r="F36" s="37" t="str">
        <f>Spatial!F36</f>
        <v xml:space="preserve">kummayak </v>
      </c>
      <c r="G36" s="37" t="str">
        <f>IFERROR(Spatial!G36,"")</f>
        <v>1,3,4,5</v>
      </c>
      <c r="H36" s="50"/>
      <c r="I36" s="37"/>
      <c r="J36" s="37" t="str">
        <f t="shared" si="0"/>
        <v>kummayak _Panchthar District</v>
      </c>
      <c r="K36" s="37" t="str">
        <f>IFERROR(IF(VLOOKUP(A36,'Service Coverage'!$A:$C,3,0)="","",VLOOKUP(A36,'Service Coverage'!$A:$C,3,0)),"")</f>
        <v>No</v>
      </c>
      <c r="L36" s="37">
        <f>IFERROR(IF(VLOOKUP(A36,'Service Coverage'!$A:$D,4,0)="","",VLOOKUP(A36,'Service Coverage'!$A:$D,4,0)),"")</f>
        <v>2275</v>
      </c>
      <c r="M36" s="37">
        <f>IFERROR(IF(VLOOKUP(A36,'Service Coverage'!$A:$E,5,0)="","",VLOOKUP(A36,'Service Coverage'!$A:$E,5,0)),"")</f>
        <v>3343</v>
      </c>
      <c r="N36" s="37">
        <f>IFERROR(IF(VLOOKUP(A36,'Service Coverage'!$A:$F,6,0)="","",VLOOKUP(A36,'Service Coverage'!$A:$F,6,0)),"")</f>
        <v>68.052647322763988</v>
      </c>
      <c r="O36" s="37">
        <f>IFERROR(IF(VLOOKUP(A36,'Service Coverage'!$A:$G,7,0)="","",VLOOKUP(A36,'Service Coverage'!$A:$G,7,0)),"")</f>
        <v>0.20131618306909971</v>
      </c>
      <c r="P36" s="37" t="str">
        <f>IFERROR(IF(VLOOKUP(A36,Adequacy!$A:$C,3,0)="","",VLOOKUP(A36,Adequacy!$A:$C,3,0)),"")</f>
        <v>Pumped</v>
      </c>
      <c r="Q36" s="37">
        <f>IFERROR(IF(VLOOKUP(A36,Adequacy!$A:$D,4,0)="","",VLOOKUP(A36,Adequacy!$A:$D,4,0)),"")</f>
        <v>24000</v>
      </c>
      <c r="R36" s="37">
        <f>IFERROR(IF(VLOOKUP(A36,Adequacy!$A:$E,5,0)="","",VLOOKUP(A36,Adequacy!$A:$E,5,0)),"")</f>
        <v>9100</v>
      </c>
      <c r="S36" s="37">
        <f>IFERROR(IF(VLOOKUP(A36,Adequacy!$A:$G,7,0)="","",VLOOKUP(A36,Adequacy!$A:$G,7,0)),"")</f>
        <v>87.912087912087912</v>
      </c>
      <c r="T36" s="37">
        <f>IFERROR(IF(VLOOKUP(A36,Adequacy!$A:$H,8,0)="","",VLOOKUP(A36,Adequacy!$A:$H,8,0)),"")</f>
        <v>100</v>
      </c>
      <c r="U36" s="37">
        <f>IFERROR(IF(VLOOKUP(A36,Adequacy!$A:$J,10,0)="","",VLOOKUP(A36,Adequacy!$A:$J,10,0)),"")</f>
        <v>0.78021978021978022</v>
      </c>
      <c r="V36" s="37" t="str">
        <f>IFERROR(IF(VLOOKUP(A36,'Water Quality Score'!$A:$C,3,0)="","",VLOOKUP(A36,'Water Quality Score'!$A:$C,3,0)),"")</f>
        <v>Yes</v>
      </c>
      <c r="W36" s="37" t="str">
        <f>IFERROR(IF(VLOOKUP(A36,'Water Quality Score'!$A:$D,4,0)="","",VLOOKUP(A36,'Water Quality Score'!$A:$D,4,0)),"")</f>
        <v>YES</v>
      </c>
      <c r="X36" s="37" t="str">
        <f>IFERROR(IF(VLOOKUP(A36,'Water Quality Score'!$A:$E,5,0)="","",VLOOKUP(A36,'Water Quality Score'!$A:$E,5,0)),"")</f>
        <v>YES</v>
      </c>
      <c r="Y36" s="37">
        <f>IFERROR(IF(VLOOKUP(A36,'Water Quality Score'!$A:$F,6,0)="","",VLOOKUP(A36,'Water Quality Score'!$A:$F,6,0)),"")</f>
        <v>1</v>
      </c>
      <c r="Z36" s="37">
        <f>IFERROR(IF(VLOOKUP(A36,'Reliability score'!$A:$C,3,0)="","",VLOOKUP(A36,'Reliability score'!$A:$C,3,0)),"")</f>
        <v>3</v>
      </c>
      <c r="AA36" s="37">
        <f>IFERROR(IF(VLOOKUP(A36,'Reliability score'!$A:$D,4,0)="","",VLOOKUP(A36,'Reliability score'!$A:$D,4,0)),"")</f>
        <v>0.5</v>
      </c>
      <c r="AB36" s="37" t="str">
        <f>IFERROR(IF(VLOOKUP(A36,NRW!$A:$C,3,0)="","",VLOOKUP(A36,NRW!$A:$C,3,0)),"")</f>
        <v>Yes</v>
      </c>
      <c r="AC36" s="37" t="str">
        <f>IFERROR(IF(VLOOKUP(A36,NRW!$A:$D,4,0)="","",VLOOKUP(A36,NRW!$A:$D,4,0)),"")</f>
        <v>No</v>
      </c>
      <c r="AD36" s="37" t="str">
        <f>IFERROR(IF(VLOOKUP(A36,NRW!$A:$E,5,0)="","",VLOOKUP(A36,NRW!$A:$E,5,0)),"")</f>
        <v>No</v>
      </c>
      <c r="AE36" s="37" t="str">
        <f>IFERROR(IF(VLOOKUP(A36,NRW!$A:$F,6,0)="","",VLOOKUP(A36,NRW!$A:$F,6,0)),"")</f>
        <v>No</v>
      </c>
      <c r="AF36" s="37" t="str">
        <f>IFERROR(IF(VLOOKUP(A36,NRW!$A:$G,7,0)="","",VLOOKUP(A36,NRW!$A:$G,7,0)),"")</f>
        <v>No</v>
      </c>
      <c r="AG36" s="37" t="str">
        <f>IFERROR(IF(OR(VLOOKUP(A36,NRW!$A:$H,8,0)="",VLOOKUP(A36,NRW!$A:$H,8,0)=0),"",VLOOKUP(A36,NRW!$A:$H,8,0)),"")</f>
        <v/>
      </c>
      <c r="AH36" s="37">
        <f>IFERROR(IF(VLOOKUP(A36,'O&amp;M score'!$A:$D,4,0)="","",VLOOKUP(A36,'O&amp;M score'!$A:$D,4,0)),"")</f>
        <v>11686243.9</v>
      </c>
      <c r="AI36" s="37">
        <f>IFERROR(IF(VLOOKUP(A36,'O&amp;M score'!$A:$E,5,0)="","",VLOOKUP(A36,'O&amp;M score'!$A:$E,5,0)),"")</f>
        <v>12421357.210000001</v>
      </c>
      <c r="AJ36" s="37">
        <f>IFERROR(IF(VLOOKUP(A36,'O&amp;M score'!$A:$F,6,0)="","",VLOOKUP(A36,'O&amp;M score'!$A:$F,6,0)),"")</f>
        <v>0.94081859996682271</v>
      </c>
      <c r="AK36" s="37">
        <f>IFERROR(IF(VLOOKUP(A36,'O&amp;M score'!$A:$G,7,0)="","",VLOOKUP(A36,'O&amp;M score'!$A:$G,7,0)),"")</f>
        <v>0.51836280006635449</v>
      </c>
      <c r="AL36" s="37">
        <f>IFERROR(IF(VLOOKUP(A36,'Metering Ratio Score'!$A:$C,3,0)="","",VLOOKUP(A36,'Metering Ratio Score'!$A:$C,3,0)),"")</f>
        <v>1565</v>
      </c>
      <c r="AM36" s="37">
        <f>IFERROR(IF(VLOOKUP(A36,'Metering Ratio Score'!$A:$D,4,0)="","",VLOOKUP(A36,'Metering Ratio Score'!$A:$D,4,0)),"")</f>
        <v>2205</v>
      </c>
      <c r="AN36" s="37">
        <f>IFERROR(IF(VLOOKUP(A36,'Metering Ratio Score'!$A:$E,5,0)="","",VLOOKUP(A36,'Metering Ratio Score'!$A:$E,5,0)),"")</f>
        <v>70.975056689342409</v>
      </c>
      <c r="AO36" s="37">
        <f>IFERROR(IF(VLOOKUP(A36,'Metering Ratio Score'!$A:$F,6,0)="","",VLOOKUP(A36,'Metering Ratio Score'!$A:$F,6,0)),"")</f>
        <v>0.27437641723356021</v>
      </c>
      <c r="AP36" s="37" t="str">
        <f>IFERROR(IF(VLOOKUP(A36,'Grievance Addressal'!$A:$C,3,0)="","",VLOOKUP(A36,'Grievance Addressal'!$A:$C,3,0)),"")</f>
        <v>Yes</v>
      </c>
      <c r="AQ36" s="37" t="str">
        <f>IFERROR(IF(VLOOKUP(A36,'Grievance Addressal'!$A:$D,4,0)="","",VLOOKUP(A36,'Grievance Addressal'!$A:$D,4,0)),"")</f>
        <v>Yes</v>
      </c>
      <c r="AR36" s="37">
        <f>IFERROR(IF(VLOOKUP(A36,'Grievance Addressal'!$A:$E,5,0)="","",VLOOKUP(A36,'Grievance Addressal'!$A:$E,5,0)),"")</f>
        <v>1</v>
      </c>
      <c r="AS36" s="37">
        <f>IFERROR(IF(VLOOKUP(A36,Summary_Index!$A$5:$N$281,7,0)="","",VLOOKUP(A36,Summary_Index!$A$5:$N$281,7,0)),"")</f>
        <v>65.599999999999994</v>
      </c>
      <c r="AT36" s="37">
        <f>IFERROR(IF(VLOOKUP(A36,Summary_Index!$A$5:$N$281,12,0)="","",VLOOKUP(A36,Summary_Index!$A$5:$N$281,12,0)),"")</f>
        <v>43.4</v>
      </c>
      <c r="AU36" s="37">
        <f>IFERROR(IF(VLOOKUP(A36,Summary_Index!$A$5:$N$281,13,0)="","",VLOOKUP(A36,Summary_Index!$A$5:$N$281,13,0)),"")</f>
        <v>7</v>
      </c>
      <c r="AV36" s="37" t="str">
        <f>IFERROR(IF(VLOOKUP(A36,Summary_Index!$A$5:$N$281,14,0)="","",VLOOKUP(A36,Summary_Index!$A$5:$N$281,14,0)),"")</f>
        <v>7. Inactive — Functioning Level</v>
      </c>
    </row>
    <row r="37" spans="1:48" ht="45.6" customHeight="1" x14ac:dyDescent="0.3">
      <c r="A37" s="37">
        <f>Spatial!A37</f>
        <v>36</v>
      </c>
      <c r="B37" s="37" t="str">
        <f>Spatial!B37</f>
        <v>Phidim_WSUC</v>
      </c>
      <c r="C37" s="37" t="str">
        <f>Spatial!C37</f>
        <v>Koshi</v>
      </c>
      <c r="D37" s="37" t="str">
        <f>Spatial!D37</f>
        <v>Panchthar District</v>
      </c>
      <c r="E37" s="37" t="str">
        <f>Spatial!E37</f>
        <v>Municipality</v>
      </c>
      <c r="F37" s="37" t="str">
        <f>Spatial!F37</f>
        <v>Phidim</v>
      </c>
      <c r="G37" s="37" t="str">
        <f>IFERROR(Spatial!G37,"")</f>
        <v>1,2,4</v>
      </c>
      <c r="H37" s="37"/>
      <c r="I37" s="37"/>
      <c r="J37" s="37" t="str">
        <f t="shared" si="0"/>
        <v>Phidim_Panchthar District</v>
      </c>
      <c r="K37" s="37" t="str">
        <f>IFERROR(IF(VLOOKUP(A37,'Service Coverage'!$A:$C,3,0)="","",VLOOKUP(A37,'Service Coverage'!$A:$C,3,0)),"")</f>
        <v>No</v>
      </c>
      <c r="L37" s="37">
        <f>IFERROR(IF(VLOOKUP(A37,'Service Coverage'!$A:$D,4,0)="","",VLOOKUP(A37,'Service Coverage'!$A:$D,4,0)),"")</f>
        <v>2997</v>
      </c>
      <c r="M37" s="37">
        <f>IFERROR(IF(VLOOKUP(A37,'Service Coverage'!$A:$E,5,0)="","",VLOOKUP(A37,'Service Coverage'!$A:$E,5,0)),"")</f>
        <v>3897</v>
      </c>
      <c r="N37" s="37">
        <f>IFERROR(IF(VLOOKUP(A37,'Service Coverage'!$A:$F,6,0)="","",VLOOKUP(A37,'Service Coverage'!$A:$F,6,0)),"")</f>
        <v>76.905311778290994</v>
      </c>
      <c r="O37" s="37">
        <f>IFERROR(IF(VLOOKUP(A37,'Service Coverage'!$A:$G,7,0)="","",VLOOKUP(A37,'Service Coverage'!$A:$G,7,0)),"")</f>
        <v>0.42263279445727486</v>
      </c>
      <c r="P37" s="37" t="str">
        <f>IFERROR(IF(VLOOKUP(A37,Adequacy!$A:$C,3,0)="","",VLOOKUP(A37,Adequacy!$A:$C,3,0)),"")</f>
        <v>Gravity</v>
      </c>
      <c r="Q37" s="37">
        <f>IFERROR(IF(VLOOKUP(A37,Adequacy!$A:$D,4,0)="","",VLOOKUP(A37,Adequacy!$A:$D,4,0)),"")</f>
        <v>132000</v>
      </c>
      <c r="R37" s="37">
        <f>IFERROR(IF(VLOOKUP(A37,Adequacy!$A:$E,5,0)="","",VLOOKUP(A37,Adequacy!$A:$E,5,0)),"")</f>
        <v>11988</v>
      </c>
      <c r="S37" s="37">
        <f>IFERROR(IF(VLOOKUP(A37,Adequacy!$A:$G,7,0)="","",VLOOKUP(A37,Adequacy!$A:$G,7,0)),"")</f>
        <v>367.0337003670337</v>
      </c>
      <c r="T37" s="37">
        <f>IFERROR(IF(VLOOKUP(A37,Adequacy!$A:$H,8,0)="","",VLOOKUP(A37,Adequacy!$A:$H,8,0)),"")</f>
        <v>120</v>
      </c>
      <c r="U37" s="37">
        <f>IFERROR(IF(VLOOKUP(A37,Adequacy!$A:$J,10,0)="","",VLOOKUP(A37,Adequacy!$A:$J,10,0)),"")</f>
        <v>1</v>
      </c>
      <c r="V37" s="37" t="str">
        <f>IFERROR(IF(VLOOKUP(A37,'Water Quality Score'!$A:$C,3,0)="","",VLOOKUP(A37,'Water Quality Score'!$A:$C,3,0)),"")</f>
        <v>Yes</v>
      </c>
      <c r="W37" s="37" t="str">
        <f>IFERROR(IF(VLOOKUP(A37,'Water Quality Score'!$A:$D,4,0)="","",VLOOKUP(A37,'Water Quality Score'!$A:$D,4,0)),"")</f>
        <v>Yes</v>
      </c>
      <c r="X37" s="37" t="str">
        <f>IFERROR(IF(VLOOKUP(A37,'Water Quality Score'!$A:$E,5,0)="","",VLOOKUP(A37,'Water Quality Score'!$A:$E,5,0)),"")</f>
        <v>Yes</v>
      </c>
      <c r="Y37" s="37">
        <f>IFERROR(IF(VLOOKUP(A37,'Water Quality Score'!$A:$F,6,0)="","",VLOOKUP(A37,'Water Quality Score'!$A:$F,6,0)),"")</f>
        <v>1</v>
      </c>
      <c r="Z37" s="37">
        <f>IFERROR(IF(VLOOKUP(A37,'Reliability score'!$A:$C,3,0)="","",VLOOKUP(A37,'Reliability score'!$A:$C,3,0)),"")</f>
        <v>1.5</v>
      </c>
      <c r="AA37" s="37">
        <f>IFERROR(IF(VLOOKUP(A37,'Reliability score'!$A:$D,4,0)="","",VLOOKUP(A37,'Reliability score'!$A:$D,4,0)),"")</f>
        <v>0</v>
      </c>
      <c r="AB37" s="37" t="str">
        <f>IFERROR(IF(VLOOKUP(A37,NRW!$A:$C,3,0)="","",VLOOKUP(A37,NRW!$A:$C,3,0)),"")</f>
        <v>No</v>
      </c>
      <c r="AC37" s="37" t="str">
        <f>IFERROR(IF(VLOOKUP(A37,NRW!$A:$D,4,0)="","",VLOOKUP(A37,NRW!$A:$D,4,0)),"")</f>
        <v>No</v>
      </c>
      <c r="AD37" s="37" t="str">
        <f>IFERROR(IF(VLOOKUP(A37,NRW!$A:$E,5,0)="","",VLOOKUP(A37,NRW!$A:$E,5,0)),"")</f>
        <v>No</v>
      </c>
      <c r="AE37" s="37" t="str">
        <f>IFERROR(IF(VLOOKUP(A37,NRW!$A:$F,6,0)="","",VLOOKUP(A37,NRW!$A:$F,6,0)),"")</f>
        <v>No</v>
      </c>
      <c r="AF37" s="37" t="str">
        <f>IFERROR(IF(VLOOKUP(A37,NRW!$A:$G,7,0)="","",VLOOKUP(A37,NRW!$A:$G,7,0)),"")</f>
        <v>No</v>
      </c>
      <c r="AG37" s="37" t="str">
        <f>IFERROR(IF(OR(VLOOKUP(A37,NRW!$A:$H,8,0)="",VLOOKUP(A37,NRW!$A:$H,8,0)=0),"",VLOOKUP(A37,NRW!$A:$H,8,0)),"")</f>
        <v/>
      </c>
      <c r="AH37" s="37">
        <f>IFERROR(IF(VLOOKUP(A37,'O&amp;M score'!$A:$D,4,0)="","",VLOOKUP(A37,'O&amp;M score'!$A:$D,4,0)),"")</f>
        <v>11000000</v>
      </c>
      <c r="AI37" s="37">
        <f>IFERROR(IF(VLOOKUP(A37,'O&amp;M score'!$A:$E,5,0)="","",VLOOKUP(A37,'O&amp;M score'!$A:$E,5,0)),"")</f>
        <v>9000000</v>
      </c>
      <c r="AJ37" s="37">
        <f>IFERROR(IF(VLOOKUP(A37,'O&amp;M score'!$A:$F,6,0)="","",VLOOKUP(A37,'O&amp;M score'!$A:$F,6,0)),"")</f>
        <v>1.2222222222222223</v>
      </c>
      <c r="AK37" s="37">
        <f>IFERROR(IF(VLOOKUP(A37,'O&amp;M score'!$A:$G,7,0)="","",VLOOKUP(A37,'O&amp;M score'!$A:$G,7,0)),"")</f>
        <v>0</v>
      </c>
      <c r="AL37" s="37">
        <f>IFERROR(IF(VLOOKUP(A37,'Metering Ratio Score'!$A:$C,3,0)="","",VLOOKUP(A37,'Metering Ratio Score'!$A:$C,3,0)),"")</f>
        <v>2997</v>
      </c>
      <c r="AM37" s="37">
        <f>IFERROR(IF(VLOOKUP(A37,'Metering Ratio Score'!$A:$D,4,0)="","",VLOOKUP(A37,'Metering Ratio Score'!$A:$D,4,0)),"")</f>
        <v>2997</v>
      </c>
      <c r="AN37" s="37">
        <f>IFERROR(IF(VLOOKUP(A37,'Metering Ratio Score'!$A:$E,5,0)="","",VLOOKUP(A37,'Metering Ratio Score'!$A:$E,5,0)),"")</f>
        <v>100</v>
      </c>
      <c r="AO37" s="37">
        <f>IFERROR(IF(VLOOKUP(A37,'Metering Ratio Score'!$A:$F,6,0)="","",VLOOKUP(A37,'Metering Ratio Score'!$A:$F,6,0)),"")</f>
        <v>1</v>
      </c>
      <c r="AP37" s="37" t="str">
        <f>IFERROR(IF(VLOOKUP(A37,'Grievance Addressal'!$A:$C,3,0)="","",VLOOKUP(A37,'Grievance Addressal'!$A:$C,3,0)),"")</f>
        <v>Yes</v>
      </c>
      <c r="AQ37" s="37" t="str">
        <f>IFERROR(IF(VLOOKUP(A37,'Grievance Addressal'!$A:$D,4,0)="","",VLOOKUP(A37,'Grievance Addressal'!$A:$D,4,0)),"")</f>
        <v>Yes</v>
      </c>
      <c r="AR37" s="37">
        <f>IFERROR(IF(VLOOKUP(A37,'Grievance Addressal'!$A:$E,5,0)="","",VLOOKUP(A37,'Grievance Addressal'!$A:$E,5,0)),"")</f>
        <v>1</v>
      </c>
      <c r="AS37" s="37">
        <f>IFERROR(IF(VLOOKUP(A37,Summary_Index!$A$5:$N$281,7,0)="","",VLOOKUP(A37,Summary_Index!$A$5:$N$281,7,0)),"")</f>
        <v>65.599999999999994</v>
      </c>
      <c r="AT37" s="37">
        <f>IFERROR(IF(VLOOKUP(A37,Summary_Index!$A$5:$N$281,12,0)="","",VLOOKUP(A37,Summary_Index!$A$5:$N$281,12,0)),"")</f>
        <v>45</v>
      </c>
      <c r="AU37" s="37">
        <f>IFERROR(IF(VLOOKUP(A37,Summary_Index!$A$5:$N$281,13,0)="","",VLOOKUP(A37,Summary_Index!$A$5:$N$281,13,0)),"")</f>
        <v>7</v>
      </c>
      <c r="AV37" s="37" t="str">
        <f>IFERROR(IF(VLOOKUP(A37,Summary_Index!$A$5:$N$281,14,0)="","",VLOOKUP(A37,Summary_Index!$A$5:$N$281,14,0)),"")</f>
        <v>7. Inactive — Functioning Level</v>
      </c>
    </row>
    <row r="38" spans="1:48" ht="45.6" customHeight="1" x14ac:dyDescent="0.3">
      <c r="A38" s="37">
        <f>Spatial!A38</f>
        <v>37</v>
      </c>
      <c r="B38" s="37" t="str">
        <f>Spatial!B38</f>
        <v>Taplejung_WSUC</v>
      </c>
      <c r="C38" s="37" t="str">
        <f>Spatial!C38</f>
        <v>Koshi</v>
      </c>
      <c r="D38" s="37" t="str">
        <f>Spatial!D38</f>
        <v>Taplejung District</v>
      </c>
      <c r="E38" s="37" t="str">
        <f>Spatial!E38</f>
        <v>Municipality</v>
      </c>
      <c r="F38" s="37" t="str">
        <f>Spatial!F38</f>
        <v>Phungling</v>
      </c>
      <c r="G38" s="37" t="str">
        <f>IFERROR(Spatial!G38,"")</f>
        <v>2,3,4,5,6,7,8</v>
      </c>
      <c r="H38" s="37"/>
      <c r="I38" s="37"/>
      <c r="J38" s="37" t="str">
        <f t="shared" si="0"/>
        <v>Phungling_Taplejung District</v>
      </c>
      <c r="K38" s="37" t="str">
        <f>IFERROR(IF(VLOOKUP(A38,'Service Coverage'!$A:$C,3,0)="","",VLOOKUP(A38,'Service Coverage'!$A:$C,3,0)),"")</f>
        <v>No</v>
      </c>
      <c r="L38" s="37">
        <f>IFERROR(IF(VLOOKUP(A38,'Service Coverage'!$A:$D,4,0)="","",VLOOKUP(A38,'Service Coverage'!$A:$D,4,0)),"")</f>
        <v>2100</v>
      </c>
      <c r="M38" s="37">
        <f>IFERROR(IF(VLOOKUP(A38,'Service Coverage'!$A:$E,5,0)="","",VLOOKUP(A38,'Service Coverage'!$A:$E,5,0)),"")</f>
        <v>2385</v>
      </c>
      <c r="N38" s="37">
        <f>IFERROR(IF(VLOOKUP(A38,'Service Coverage'!$A:$F,6,0)="","",VLOOKUP(A38,'Service Coverage'!$A:$F,6,0)),"")</f>
        <v>88.050314465408803</v>
      </c>
      <c r="O38" s="37">
        <f>IFERROR(IF(VLOOKUP(A38,'Service Coverage'!$A:$G,7,0)="","",VLOOKUP(A38,'Service Coverage'!$A:$G,7,0)),"")</f>
        <v>0.70125786163522008</v>
      </c>
      <c r="P38" s="37" t="str">
        <f>IFERROR(IF(VLOOKUP(A38,Adequacy!$A:$C,3,0)="","",VLOOKUP(A38,Adequacy!$A:$C,3,0)),"")</f>
        <v>Gravity</v>
      </c>
      <c r="Q38" s="37">
        <f>IFERROR(IF(VLOOKUP(A38,Adequacy!$A:$D,4,0)="","",VLOOKUP(A38,Adequacy!$A:$D,4,0)),"")</f>
        <v>16800</v>
      </c>
      <c r="R38" s="37">
        <f>IFERROR(IF(VLOOKUP(A38,Adequacy!$A:$E,5,0)="","",VLOOKUP(A38,Adequacy!$A:$E,5,0)),"")</f>
        <v>8485</v>
      </c>
      <c r="S38" s="37">
        <f>IFERROR(IF(VLOOKUP(A38,Adequacy!$A:$G,7,0)="","",VLOOKUP(A38,Adequacy!$A:$G,7,0)),"")</f>
        <v>65.998821449616969</v>
      </c>
      <c r="T38" s="37">
        <f>IFERROR(IF(VLOOKUP(A38,Adequacy!$A:$H,8,0)="","",VLOOKUP(A38,Adequacy!$A:$H,8,0)),"")</f>
        <v>120</v>
      </c>
      <c r="U38" s="37">
        <f>IFERROR(IF(VLOOKUP(A38,Adequacy!$A:$J,10,0)="","",VLOOKUP(A38,Adequacy!$A:$J,10,0)),"")</f>
        <v>0.18180032499419654</v>
      </c>
      <c r="V38" s="37" t="str">
        <f>IFERROR(IF(VLOOKUP(A38,'Water Quality Score'!$A:$C,3,0)="","",VLOOKUP(A38,'Water Quality Score'!$A:$C,3,0)),"")</f>
        <v>Yes</v>
      </c>
      <c r="W38" s="37" t="str">
        <f>IFERROR(IF(VLOOKUP(A38,'Water Quality Score'!$A:$D,4,0)="","",VLOOKUP(A38,'Water Quality Score'!$A:$D,4,0)),"")</f>
        <v>Yes</v>
      </c>
      <c r="X38" s="37" t="str">
        <f>IFERROR(IF(VLOOKUP(A38,'Water Quality Score'!$A:$E,5,0)="","",VLOOKUP(A38,'Water Quality Score'!$A:$E,5,0)),"")</f>
        <v>Yes</v>
      </c>
      <c r="Y38" s="37">
        <f>IFERROR(IF(VLOOKUP(A38,'Water Quality Score'!$A:$F,6,0)="","",VLOOKUP(A38,'Water Quality Score'!$A:$F,6,0)),"")</f>
        <v>1</v>
      </c>
      <c r="Z38" s="37">
        <f>IFERROR(IF(VLOOKUP(A38,'Reliability score'!$A:$C,3,0)="","",VLOOKUP(A38,'Reliability score'!$A:$C,3,0)),"")</f>
        <v>5</v>
      </c>
      <c r="AA38" s="37">
        <f>IFERROR(IF(VLOOKUP(A38,'Reliability score'!$A:$D,4,0)="","",VLOOKUP(A38,'Reliability score'!$A:$D,4,0)),"")</f>
        <v>0.54761904761904767</v>
      </c>
      <c r="AB38" s="37" t="str">
        <f>IFERROR(IF(VLOOKUP(A38,NRW!$A:$C,3,0)="","",VLOOKUP(A38,NRW!$A:$C,3,0)),"")</f>
        <v>No</v>
      </c>
      <c r="AC38" s="37" t="str">
        <f>IFERROR(IF(VLOOKUP(A38,NRW!$A:$D,4,0)="","",VLOOKUP(A38,NRW!$A:$D,4,0)),"")</f>
        <v>No</v>
      </c>
      <c r="AD38" s="37" t="str">
        <f>IFERROR(IF(VLOOKUP(A38,NRW!$A:$E,5,0)="","",VLOOKUP(A38,NRW!$A:$E,5,0)),"")</f>
        <v>No</v>
      </c>
      <c r="AE38" s="37" t="str">
        <f>IFERROR(IF(VLOOKUP(A38,NRW!$A:$F,6,0)="","",VLOOKUP(A38,NRW!$A:$F,6,0)),"")</f>
        <v>No</v>
      </c>
      <c r="AF38" s="37" t="str">
        <f>IFERROR(IF(VLOOKUP(A38,NRW!$A:$G,7,0)="","",VLOOKUP(A38,NRW!$A:$G,7,0)),"")</f>
        <v>No</v>
      </c>
      <c r="AG38" s="37" t="str">
        <f>IFERROR(IF(OR(VLOOKUP(A38,NRW!$A:$H,8,0)="",VLOOKUP(A38,NRW!$A:$H,8,0)=0),"",VLOOKUP(A38,NRW!$A:$H,8,0)),"")</f>
        <v/>
      </c>
      <c r="AH38" s="37">
        <f>IFERROR(IF(VLOOKUP(A38,'O&amp;M score'!$A:$D,4,0)="","",VLOOKUP(A38,'O&amp;M score'!$A:$D,4,0)),"")</f>
        <v>7000000</v>
      </c>
      <c r="AI38" s="37">
        <f>IFERROR(IF(VLOOKUP(A38,'O&amp;M score'!$A:$E,5,0)="","",VLOOKUP(A38,'O&amp;M score'!$A:$E,5,0)),"")</f>
        <v>7450000</v>
      </c>
      <c r="AJ38" s="37">
        <f>IFERROR(IF(VLOOKUP(A38,'O&amp;M score'!$A:$F,6,0)="","",VLOOKUP(A38,'O&amp;M score'!$A:$F,6,0)),"")</f>
        <v>0.93959731543624159</v>
      </c>
      <c r="AK38" s="37">
        <f>IFERROR(IF(VLOOKUP(A38,'O&amp;M score'!$A:$G,7,0)="","",VLOOKUP(A38,'O&amp;M score'!$A:$G,7,0)),"")</f>
        <v>0.52080536912751674</v>
      </c>
      <c r="AL38" s="37">
        <f>IFERROR(IF(VLOOKUP(A38,'Metering Ratio Score'!$A:$C,3,0)="","",VLOOKUP(A38,'Metering Ratio Score'!$A:$C,3,0)),"")</f>
        <v>2100</v>
      </c>
      <c r="AM38" s="37">
        <f>IFERROR(IF(VLOOKUP(A38,'Metering Ratio Score'!$A:$D,4,0)="","",VLOOKUP(A38,'Metering Ratio Score'!$A:$D,4,0)),"")</f>
        <v>2100</v>
      </c>
      <c r="AN38" s="37">
        <f>IFERROR(IF(VLOOKUP(A38,'Metering Ratio Score'!$A:$E,5,0)="","",VLOOKUP(A38,'Metering Ratio Score'!$A:$E,5,0)),"")</f>
        <v>100</v>
      </c>
      <c r="AO38" s="37">
        <f>IFERROR(IF(VLOOKUP(A38,'Metering Ratio Score'!$A:$F,6,0)="","",VLOOKUP(A38,'Metering Ratio Score'!$A:$F,6,0)),"")</f>
        <v>1</v>
      </c>
      <c r="AP38" s="37" t="str">
        <f>IFERROR(IF(VLOOKUP(A38,'Grievance Addressal'!$A:$C,3,0)="","",VLOOKUP(A38,'Grievance Addressal'!$A:$C,3,0)),"")</f>
        <v>Yes</v>
      </c>
      <c r="AQ38" s="37" t="str">
        <f>IFERROR(IF(VLOOKUP(A38,'Grievance Addressal'!$A:$D,4,0)="","",VLOOKUP(A38,'Grievance Addressal'!$A:$D,4,0)),"")</f>
        <v>Yes</v>
      </c>
      <c r="AR38" s="37">
        <f>IFERROR(IF(VLOOKUP(A38,'Grievance Addressal'!$A:$E,5,0)="","",VLOOKUP(A38,'Grievance Addressal'!$A:$E,5,0)),"")</f>
        <v>1</v>
      </c>
      <c r="AS38" s="37">
        <f>IFERROR(IF(VLOOKUP(A38,Summary_Index!$A$5:$N$281,7,0)="","",VLOOKUP(A38,Summary_Index!$A$5:$N$281,7,0)),"")</f>
        <v>67.099999999999994</v>
      </c>
      <c r="AT38" s="37">
        <f>IFERROR(IF(VLOOKUP(A38,Summary_Index!$A$5:$N$281,12,0)="","",VLOOKUP(A38,Summary_Index!$A$5:$N$281,12,0)),"")</f>
        <v>58</v>
      </c>
      <c r="AU38" s="37">
        <f>IFERROR(IF(VLOOKUP(A38,Summary_Index!$A$5:$N$281,13,0)="","",VLOOKUP(A38,Summary_Index!$A$5:$N$281,13,0)),"")</f>
        <v>5</v>
      </c>
      <c r="AV38" s="37" t="str">
        <f>IFERROR(IF(VLOOKUP(A38,Summary_Index!$A$5:$N$281,14,0)="","",VLOOKUP(A38,Summary_Index!$A$5:$N$281,14,0)),"")</f>
        <v>5. Improving — Improving Level</v>
      </c>
    </row>
    <row r="39" spans="1:48" ht="45.6" customHeight="1" x14ac:dyDescent="0.3">
      <c r="A39" s="37">
        <f>Spatial!A39</f>
        <v>38</v>
      </c>
      <c r="B39" s="37" t="str">
        <f>Spatial!B39</f>
        <v>Ilam Bazaar Urban_WSUC</v>
      </c>
      <c r="C39" s="37" t="str">
        <f>Spatial!C39</f>
        <v>Koshi</v>
      </c>
      <c r="D39" s="37" t="str">
        <f>Spatial!D39</f>
        <v>Ilam District</v>
      </c>
      <c r="E39" s="37" t="str">
        <f>Spatial!E39</f>
        <v>Municipality</v>
      </c>
      <c r="F39" s="37" t="str">
        <f>Spatial!F39</f>
        <v>Ilam</v>
      </c>
      <c r="G39" s="37" t="str">
        <f>IFERROR(Spatial!G39,"")</f>
        <v>5,6,7,8,9</v>
      </c>
      <c r="H39" s="37"/>
      <c r="I39" s="37"/>
      <c r="J39" s="37" t="str">
        <f t="shared" si="0"/>
        <v>Ilam_Ilam District</v>
      </c>
      <c r="K39" s="37" t="str">
        <f>IFERROR(IF(VLOOKUP(A39,'Service Coverage'!$A:$C,3,0)="","",VLOOKUP(A39,'Service Coverage'!$A:$C,3,0)),"")</f>
        <v>No</v>
      </c>
      <c r="L39" s="37">
        <f>IFERROR(IF(VLOOKUP(A39,'Service Coverage'!$A:$D,4,0)="","",VLOOKUP(A39,'Service Coverage'!$A:$D,4,0)),"")</f>
        <v>4400</v>
      </c>
      <c r="M39" s="37">
        <f>IFERROR(IF(VLOOKUP(A39,'Service Coverage'!$A:$E,5,0)="","",VLOOKUP(A39,'Service Coverage'!$A:$E,5,0)),"")</f>
        <v>5000</v>
      </c>
      <c r="N39" s="37">
        <f>IFERROR(IF(VLOOKUP(A39,'Service Coverage'!$A:$F,6,0)="","",VLOOKUP(A39,'Service Coverage'!$A:$F,6,0)),"")</f>
        <v>88</v>
      </c>
      <c r="O39" s="37">
        <f>IFERROR(IF(VLOOKUP(A39,'Service Coverage'!$A:$G,7,0)="","",VLOOKUP(A39,'Service Coverage'!$A:$G,7,0)),"")</f>
        <v>0.7</v>
      </c>
      <c r="P39" s="37" t="str">
        <f>IFERROR(IF(VLOOKUP(A39,Adequacy!$A:$C,3,0)="","",VLOOKUP(A39,Adequacy!$A:$C,3,0)),"")</f>
        <v>Gravity</v>
      </c>
      <c r="Q39" s="37">
        <f>IFERROR(IF(VLOOKUP(A39,Adequacy!$A:$D,4,0)="","",VLOOKUP(A39,Adequacy!$A:$D,4,0)),"")</f>
        <v>75000</v>
      </c>
      <c r="R39" s="37">
        <f>IFERROR(IF(VLOOKUP(A39,Adequacy!$A:$E,5,0)="","",VLOOKUP(A39,Adequacy!$A:$E,5,0)),"")</f>
        <v>22000</v>
      </c>
      <c r="S39" s="37">
        <f>IFERROR(IF(VLOOKUP(A39,Adequacy!$A:$G,7,0)="","",VLOOKUP(A39,Adequacy!$A:$G,7,0)),"")</f>
        <v>113.63636363636364</v>
      </c>
      <c r="T39" s="37">
        <f>IFERROR(IF(VLOOKUP(A39,Adequacy!$A:$H,8,0)="","",VLOOKUP(A39,Adequacy!$A:$H,8,0)),"")</f>
        <v>120</v>
      </c>
      <c r="U39" s="37">
        <f>IFERROR(IF(VLOOKUP(A39,Adequacy!$A:$J,10,0)="","",VLOOKUP(A39,Adequacy!$A:$J,10,0)),"")</f>
        <v>0.90358126721763099</v>
      </c>
      <c r="V39" s="37" t="str">
        <f>IFERROR(IF(VLOOKUP(A39,'Water Quality Score'!$A:$C,3,0)="","",VLOOKUP(A39,'Water Quality Score'!$A:$C,3,0)),"")</f>
        <v>Yes</v>
      </c>
      <c r="W39" s="37" t="str">
        <f>IFERROR(IF(VLOOKUP(A39,'Water Quality Score'!$A:$D,4,0)="","",VLOOKUP(A39,'Water Quality Score'!$A:$D,4,0)),"")</f>
        <v>Yes</v>
      </c>
      <c r="X39" s="37" t="str">
        <f>IFERROR(IF(VLOOKUP(A39,'Water Quality Score'!$A:$E,5,0)="","",VLOOKUP(A39,'Water Quality Score'!$A:$E,5,0)),"")</f>
        <v>Yes</v>
      </c>
      <c r="Y39" s="37">
        <f>IFERROR(IF(VLOOKUP(A39,'Water Quality Score'!$A:$F,6,0)="","",VLOOKUP(A39,'Water Quality Score'!$A:$F,6,0)),"")</f>
        <v>1</v>
      </c>
      <c r="Z39" s="37">
        <f>IFERROR(IF(VLOOKUP(A39,'Reliability score'!$A:$C,3,0)="","",VLOOKUP(A39,'Reliability score'!$A:$C,3,0)),"")</f>
        <v>8</v>
      </c>
      <c r="AA39" s="37">
        <f>IFERROR(IF(VLOOKUP(A39,'Reliability score'!$A:$D,4,0)="","",VLOOKUP(A39,'Reliability score'!$A:$D,4,0)),"")</f>
        <v>0.61904761904761907</v>
      </c>
      <c r="AB39" s="37" t="str">
        <f>IFERROR(IF(VLOOKUP(A39,NRW!$A:$C,3,0)="","",VLOOKUP(A39,NRW!$A:$C,3,0)),"")</f>
        <v>No</v>
      </c>
      <c r="AC39" s="37" t="str">
        <f>IFERROR(IF(VLOOKUP(A39,NRW!$A:$D,4,0)="","",VLOOKUP(A39,NRW!$A:$D,4,0)),"")</f>
        <v>No</v>
      </c>
      <c r="AD39" s="37" t="str">
        <f>IFERROR(IF(VLOOKUP(A39,NRW!$A:$E,5,0)="","",VLOOKUP(A39,NRW!$A:$E,5,0)),"")</f>
        <v>No</v>
      </c>
      <c r="AE39" s="37" t="str">
        <f>IFERROR(IF(VLOOKUP(A39,NRW!$A:$F,6,0)="","",VLOOKUP(A39,NRW!$A:$F,6,0)),"")</f>
        <v>Yes</v>
      </c>
      <c r="AF39" s="37" t="str">
        <f>IFERROR(IF(VLOOKUP(A39,NRW!$A:$G,7,0)="","",VLOOKUP(A39,NRW!$A:$G,7,0)),"")</f>
        <v>Yes</v>
      </c>
      <c r="AG39" s="37" t="str">
        <f>IFERROR(IF(OR(VLOOKUP(A39,NRW!$A:$H,8,0)="",VLOOKUP(A39,NRW!$A:$H,8,0)=0),"",VLOOKUP(A39,NRW!$A:$H,8,0)),"")</f>
        <v/>
      </c>
      <c r="AH39" s="37">
        <f>IFERROR(IF(VLOOKUP(A39,'O&amp;M score'!$A:$D,4,0)="","",VLOOKUP(A39,'O&amp;M score'!$A:$D,4,0)),"")</f>
        <v>34000000</v>
      </c>
      <c r="AI39" s="37">
        <f>IFERROR(IF(VLOOKUP(A39,'O&amp;M score'!$A:$E,5,0)="","",VLOOKUP(A39,'O&amp;M score'!$A:$E,5,0)),"")</f>
        <v>35000000</v>
      </c>
      <c r="AJ39" s="37">
        <f>IFERROR(IF(VLOOKUP(A39,'O&amp;M score'!$A:$F,6,0)="","",VLOOKUP(A39,'O&amp;M score'!$A:$F,6,0)),"")</f>
        <v>0.97142857142857142</v>
      </c>
      <c r="AK39" s="37">
        <f>IFERROR(IF(VLOOKUP(A39,'O&amp;M score'!$A:$G,7,0)="","",VLOOKUP(A39,'O&amp;M score'!$A:$G,7,0)),"")</f>
        <v>0.45714285714285707</v>
      </c>
      <c r="AL39" s="37">
        <f>IFERROR(IF(VLOOKUP(A39,'Metering Ratio Score'!$A:$C,3,0)="","",VLOOKUP(A39,'Metering Ratio Score'!$A:$C,3,0)),"")</f>
        <v>4400</v>
      </c>
      <c r="AM39" s="37">
        <f>IFERROR(IF(VLOOKUP(A39,'Metering Ratio Score'!$A:$D,4,0)="","",VLOOKUP(A39,'Metering Ratio Score'!$A:$D,4,0)),"")</f>
        <v>4400</v>
      </c>
      <c r="AN39" s="37">
        <f>IFERROR(IF(VLOOKUP(A39,'Metering Ratio Score'!$A:$E,5,0)="","",VLOOKUP(A39,'Metering Ratio Score'!$A:$E,5,0)),"")</f>
        <v>100</v>
      </c>
      <c r="AO39" s="37">
        <f>IFERROR(IF(VLOOKUP(A39,'Metering Ratio Score'!$A:$F,6,0)="","",VLOOKUP(A39,'Metering Ratio Score'!$A:$F,6,0)),"")</f>
        <v>1</v>
      </c>
      <c r="AP39" s="37" t="str">
        <f>IFERROR(IF(VLOOKUP(A39,'Grievance Addressal'!$A:$C,3,0)="","",VLOOKUP(A39,'Grievance Addressal'!$A:$C,3,0)),"")</f>
        <v>Yes</v>
      </c>
      <c r="AQ39" s="37" t="str">
        <f>IFERROR(IF(VLOOKUP(A39,'Grievance Addressal'!$A:$D,4,0)="","",VLOOKUP(A39,'Grievance Addressal'!$A:$D,4,0)),"")</f>
        <v>Yes</v>
      </c>
      <c r="AR39" s="37">
        <f>IFERROR(IF(VLOOKUP(A39,'Grievance Addressal'!$A:$E,5,0)="","",VLOOKUP(A39,'Grievance Addressal'!$A:$E,5,0)),"")</f>
        <v>1</v>
      </c>
      <c r="AS39" s="37">
        <f>IFERROR(IF(VLOOKUP(A39,Summary_Index!$A$5:$N$281,7,0)="","",VLOOKUP(A39,Summary_Index!$A$5:$N$281,7,0)),"")</f>
        <v>83</v>
      </c>
      <c r="AT39" s="37">
        <f>IFERROR(IF(VLOOKUP(A39,Summary_Index!$A$5:$N$281,12,0)="","",VLOOKUP(A39,Summary_Index!$A$5:$N$281,12,0)),"")</f>
        <v>56.4</v>
      </c>
      <c r="AU39" s="37">
        <f>IFERROR(IF(VLOOKUP(A39,Summary_Index!$A$5:$N$281,13,0)="","",VLOOKUP(A39,Summary_Index!$A$5:$N$281,13,0)),"")</f>
        <v>5</v>
      </c>
      <c r="AV39" s="37" t="str">
        <f>IFERROR(IF(VLOOKUP(A39,Summary_Index!$A$5:$N$281,14,0)="","",VLOOKUP(A39,Summary_Index!$A$5:$N$281,14,0)),"")</f>
        <v>5. Improving — Improving Level</v>
      </c>
    </row>
    <row r="40" spans="1:48" ht="45.6" customHeight="1" x14ac:dyDescent="0.3">
      <c r="A40" s="37">
        <f>Spatial!A40</f>
        <v>39</v>
      </c>
      <c r="B40" s="37" t="str">
        <f>Spatial!B40</f>
        <v>Dhankuta_WSUC</v>
      </c>
      <c r="C40" s="37" t="str">
        <f>Spatial!C40</f>
        <v>Koshi</v>
      </c>
      <c r="D40" s="37" t="str">
        <f>Spatial!D40</f>
        <v>Dhankuta District</v>
      </c>
      <c r="E40" s="37" t="str">
        <f>Spatial!E40</f>
        <v>Municipality</v>
      </c>
      <c r="F40" s="37" t="str">
        <f>Spatial!F40</f>
        <v>Dhankuta</v>
      </c>
      <c r="G40" s="37" t="str">
        <f>IFERROR(Spatial!G40,"")</f>
        <v>3,4,5,6,7</v>
      </c>
      <c r="H40" s="37"/>
      <c r="I40" s="37"/>
      <c r="J40" s="37" t="str">
        <f t="shared" si="0"/>
        <v>Dhankuta_Dhankuta District</v>
      </c>
      <c r="K40" s="37" t="str">
        <f>IFERROR(IF(VLOOKUP(A40,'Service Coverage'!$A:$C,3,0)="","",VLOOKUP(A40,'Service Coverage'!$A:$C,3,0)),"")</f>
        <v>No</v>
      </c>
      <c r="L40" s="37">
        <f>IFERROR(IF(VLOOKUP(A40,'Service Coverage'!$A:$D,4,0)="","",VLOOKUP(A40,'Service Coverage'!$A:$D,4,0)),"")</f>
        <v>3750</v>
      </c>
      <c r="M40" s="37">
        <f>IFERROR(IF(VLOOKUP(A40,'Service Coverage'!$A:$E,5,0)="","",VLOOKUP(A40,'Service Coverage'!$A:$E,5,0)),"")</f>
        <v>4156</v>
      </c>
      <c r="N40" s="37">
        <f>IFERROR(IF(VLOOKUP(A40,'Service Coverage'!$A:$F,6,0)="","",VLOOKUP(A40,'Service Coverage'!$A:$F,6,0)),"")</f>
        <v>90.230991337824832</v>
      </c>
      <c r="O40" s="37">
        <f>IFERROR(IF(VLOOKUP(A40,'Service Coverage'!$A:$G,7,0)="","",VLOOKUP(A40,'Service Coverage'!$A:$G,7,0)),"")</f>
        <v>0.75577478344562077</v>
      </c>
      <c r="P40" s="37" t="str">
        <f>IFERROR(IF(VLOOKUP(A40,Adequacy!$A:$C,3,0)="","",VLOOKUP(A40,Adequacy!$A:$C,3,0)),"")</f>
        <v>Pumped</v>
      </c>
      <c r="Q40" s="37">
        <f>IFERROR(IF(VLOOKUP(A40,Adequacy!$A:$D,4,0)="","",VLOOKUP(A40,Adequacy!$A:$D,4,0)),"")</f>
        <v>6745</v>
      </c>
      <c r="R40" s="37">
        <f>IFERROR(IF(VLOOKUP(A40,Adequacy!$A:$E,5,0)="","",VLOOKUP(A40,Adequacy!$A:$E,5,0)),"")</f>
        <v>18750</v>
      </c>
      <c r="S40" s="37">
        <f>IFERROR(IF(VLOOKUP(A40,Adequacy!$A:$G,7,0)="","",VLOOKUP(A40,Adequacy!$A:$G,7,0)),"")</f>
        <v>11.991111111111111</v>
      </c>
      <c r="T40" s="37">
        <f>IFERROR(IF(VLOOKUP(A40,Adequacy!$A:$H,8,0)="","",VLOOKUP(A40,Adequacy!$A:$H,8,0)),"")</f>
        <v>100</v>
      </c>
      <c r="U40" s="37">
        <f>IFERROR(IF(VLOOKUP(A40,Adequacy!$A:$J,10,0)="","",VLOOKUP(A40,Adequacy!$A:$J,10,0)),"")</f>
        <v>0</v>
      </c>
      <c r="V40" s="37" t="str">
        <f>IFERROR(IF(VLOOKUP(A40,'Water Quality Score'!$A:$C,3,0)="","",VLOOKUP(A40,'Water Quality Score'!$A:$C,3,0)),"")</f>
        <v>Yes</v>
      </c>
      <c r="W40" s="37" t="str">
        <f>IFERROR(IF(VLOOKUP(A40,'Water Quality Score'!$A:$D,4,0)="","",VLOOKUP(A40,'Water Quality Score'!$A:$D,4,0)),"")</f>
        <v>Yes</v>
      </c>
      <c r="X40" s="37" t="str">
        <f>IFERROR(IF(VLOOKUP(A40,'Water Quality Score'!$A:$E,5,0)="","",VLOOKUP(A40,'Water Quality Score'!$A:$E,5,0)),"")</f>
        <v>Yes</v>
      </c>
      <c r="Y40" s="37">
        <f>IFERROR(IF(VLOOKUP(A40,'Water Quality Score'!$A:$F,6,0)="","",VLOOKUP(A40,'Water Quality Score'!$A:$F,6,0)),"")</f>
        <v>1</v>
      </c>
      <c r="Z40" s="37">
        <f>IFERROR(IF(VLOOKUP(A40,'Reliability score'!$A:$C,3,0)="","",VLOOKUP(A40,'Reliability score'!$A:$C,3,0)),"")</f>
        <v>3</v>
      </c>
      <c r="AA40" s="37">
        <f>IFERROR(IF(VLOOKUP(A40,'Reliability score'!$A:$D,4,0)="","",VLOOKUP(A40,'Reliability score'!$A:$D,4,0)),"")</f>
        <v>0.5</v>
      </c>
      <c r="AB40" s="37" t="str">
        <f>IFERROR(IF(VLOOKUP(A40,NRW!$A:$C,3,0)="","",VLOOKUP(A40,NRW!$A:$C,3,0)),"")</f>
        <v>Yes</v>
      </c>
      <c r="AC40" s="37" t="str">
        <f>IFERROR(IF(VLOOKUP(A40,NRW!$A:$D,4,0)="","",VLOOKUP(A40,NRW!$A:$D,4,0)),"")</f>
        <v>No</v>
      </c>
      <c r="AD40" s="37" t="str">
        <f>IFERROR(IF(VLOOKUP(A40,NRW!$A:$E,5,0)="","",VLOOKUP(A40,NRW!$A:$E,5,0)),"")</f>
        <v>No</v>
      </c>
      <c r="AE40" s="37" t="str">
        <f>IFERROR(IF(VLOOKUP(A40,NRW!$A:$F,6,0)="","",VLOOKUP(A40,NRW!$A:$F,6,0)),"")</f>
        <v>Yes</v>
      </c>
      <c r="AF40" s="37" t="str">
        <f>IFERROR(IF(VLOOKUP(A40,NRW!$A:$G,7,0)="","",VLOOKUP(A40,NRW!$A:$G,7,0)),"")</f>
        <v>No</v>
      </c>
      <c r="AG40" s="37">
        <f>IFERROR(IF(OR(VLOOKUP(A40,NRW!$A:$H,8,0)="",VLOOKUP(A40,NRW!$A:$H,8,0)=0),"",VLOOKUP(A40,NRW!$A:$H,8,0)),"")</f>
        <v>0.3</v>
      </c>
      <c r="AH40" s="37">
        <f>IFERROR(IF(VLOOKUP(A40,'O&amp;M score'!$A:$D,4,0)="","",VLOOKUP(A40,'O&amp;M score'!$A:$D,4,0)),"")</f>
        <v>22000000</v>
      </c>
      <c r="AI40" s="37">
        <f>IFERROR(IF(VLOOKUP(A40,'O&amp;M score'!$A:$E,5,0)="","",VLOOKUP(A40,'O&amp;M score'!$A:$E,5,0)),"")</f>
        <v>21900000</v>
      </c>
      <c r="AJ40" s="37">
        <f>IFERROR(IF(VLOOKUP(A40,'O&amp;M score'!$A:$F,6,0)="","",VLOOKUP(A40,'O&amp;M score'!$A:$F,6,0)),"")</f>
        <v>1.004566210045662</v>
      </c>
      <c r="AK40" s="37">
        <f>IFERROR(IF(VLOOKUP(A40,'O&amp;M score'!$A:$G,7,0)="","",VLOOKUP(A40,'O&amp;M score'!$A:$G,7,0)),"")</f>
        <v>0.39086757990867582</v>
      </c>
      <c r="AL40" s="37">
        <f>IFERROR(IF(VLOOKUP(A40,'Metering Ratio Score'!$A:$C,3,0)="","",VLOOKUP(A40,'Metering Ratio Score'!$A:$C,3,0)),"")</f>
        <v>3750</v>
      </c>
      <c r="AM40" s="37">
        <f>IFERROR(IF(VLOOKUP(A40,'Metering Ratio Score'!$A:$D,4,0)="","",VLOOKUP(A40,'Metering Ratio Score'!$A:$D,4,0)),"")</f>
        <v>3750</v>
      </c>
      <c r="AN40" s="37">
        <f>IFERROR(IF(VLOOKUP(A40,'Metering Ratio Score'!$A:$E,5,0)="","",VLOOKUP(A40,'Metering Ratio Score'!$A:$E,5,0)),"")</f>
        <v>100</v>
      </c>
      <c r="AO40" s="37">
        <f>IFERROR(IF(VLOOKUP(A40,'Metering Ratio Score'!$A:$F,6,0)="","",VLOOKUP(A40,'Metering Ratio Score'!$A:$F,6,0)),"")</f>
        <v>1</v>
      </c>
      <c r="AP40" s="37" t="str">
        <f>IFERROR(IF(VLOOKUP(A40,'Grievance Addressal'!$A:$C,3,0)="","",VLOOKUP(A40,'Grievance Addressal'!$A:$C,3,0)),"")</f>
        <v>Yes</v>
      </c>
      <c r="AQ40" s="37" t="str">
        <f>IFERROR(IF(VLOOKUP(A40,'Grievance Addressal'!$A:$D,4,0)="","",VLOOKUP(A40,'Grievance Addressal'!$A:$D,4,0)),"")</f>
        <v>Yes</v>
      </c>
      <c r="AR40" s="37">
        <f>IFERROR(IF(VLOOKUP(A40,'Grievance Addressal'!$A:$E,5,0)="","",VLOOKUP(A40,'Grievance Addressal'!$A:$E,5,0)),"")</f>
        <v>1</v>
      </c>
      <c r="AS40" s="37">
        <f>IFERROR(IF(VLOOKUP(A40,Summary_Index!$A$5:$N$281,7,0)="","",VLOOKUP(A40,Summary_Index!$A$5:$N$281,7,0)),"")</f>
        <v>63.9</v>
      </c>
      <c r="AT40" s="37">
        <f>IFERROR(IF(VLOOKUP(A40,Summary_Index!$A$5:$N$281,12,0)="","",VLOOKUP(A40,Summary_Index!$A$5:$N$281,12,0)),"")</f>
        <v>63.8</v>
      </c>
      <c r="AU40" s="37">
        <f>IFERROR(IF(VLOOKUP(A40,Summary_Index!$A$5:$N$281,13,0)="","",VLOOKUP(A40,Summary_Index!$A$5:$N$281,13,0)),"")</f>
        <v>5</v>
      </c>
      <c r="AV40" s="37" t="str">
        <f>IFERROR(IF(VLOOKUP(A40,Summary_Index!$A$5:$N$281,14,0)="","",VLOOKUP(A40,Summary_Index!$A$5:$N$281,14,0)),"")</f>
        <v>5. Improving — Improving Level</v>
      </c>
    </row>
    <row r="41" spans="1:48" ht="45.6" customHeight="1" x14ac:dyDescent="0.3">
      <c r="A41" s="37">
        <f>Spatial!A41</f>
        <v>40</v>
      </c>
      <c r="B41" s="37" t="str">
        <f>Spatial!B41</f>
        <v>Khandbari_WSUC</v>
      </c>
      <c r="C41" s="37" t="str">
        <f>Spatial!C41</f>
        <v>Koshi</v>
      </c>
      <c r="D41" s="37" t="str">
        <f>Spatial!D41</f>
        <v>Sankhuwasabha District</v>
      </c>
      <c r="E41" s="37" t="str">
        <f>Spatial!E41</f>
        <v>Municipality</v>
      </c>
      <c r="F41" s="37" t="str">
        <f>Spatial!F41</f>
        <v>Khandbari</v>
      </c>
      <c r="G41" s="37" t="str">
        <f>IFERROR(Spatial!G41,"")</f>
        <v>3,7,1,8,9</v>
      </c>
      <c r="H41" s="37"/>
      <c r="I41" s="37"/>
      <c r="J41" s="37" t="str">
        <f t="shared" si="0"/>
        <v>Khandbari_Sankhuwasabha District</v>
      </c>
      <c r="K41" s="37" t="str">
        <f>IFERROR(IF(VLOOKUP(A41,'Service Coverage'!$A:$C,3,0)="","",VLOOKUP(A41,'Service Coverage'!$A:$C,3,0)),"")</f>
        <v>No</v>
      </c>
      <c r="L41" s="37">
        <f>IFERROR(IF(VLOOKUP(A41,'Service Coverage'!$A:$D,4,0)="","",VLOOKUP(A41,'Service Coverage'!$A:$D,4,0)),"")</f>
        <v>2500</v>
      </c>
      <c r="M41" s="37">
        <f>IFERROR(IF(VLOOKUP(A41,'Service Coverage'!$A:$E,5,0)="","",VLOOKUP(A41,'Service Coverage'!$A:$E,5,0)),"")</f>
        <v>3249</v>
      </c>
      <c r="N41" s="37">
        <f>IFERROR(IF(VLOOKUP(A41,'Service Coverage'!$A:$F,6,0)="","",VLOOKUP(A41,'Service Coverage'!$A:$F,6,0)),"")</f>
        <v>76.946752847029856</v>
      </c>
      <c r="O41" s="37">
        <f>IFERROR(IF(VLOOKUP(A41,'Service Coverage'!$A:$G,7,0)="","",VLOOKUP(A41,'Service Coverage'!$A:$G,7,0)),"")</f>
        <v>0.42366882117574639</v>
      </c>
      <c r="P41" s="37" t="str">
        <f>IFERROR(IF(VLOOKUP(A41,Adequacy!$A:$C,3,0)="","",VLOOKUP(A41,Adequacy!$A:$C,3,0)),"")</f>
        <v>Gravity</v>
      </c>
      <c r="Q41" s="37">
        <f>IFERROR(IF(VLOOKUP(A41,Adequacy!$A:$D,4,0)="","",VLOOKUP(A41,Adequacy!$A:$D,4,0)),"")</f>
        <v>24000</v>
      </c>
      <c r="R41" s="37">
        <f>IFERROR(IF(VLOOKUP(A41,Adequacy!$A:$E,5,0)="","",VLOOKUP(A41,Adequacy!$A:$E,5,0)),"")</f>
        <v>12500</v>
      </c>
      <c r="S41" s="37">
        <f>IFERROR(IF(VLOOKUP(A41,Adequacy!$A:$G,7,0)="","",VLOOKUP(A41,Adequacy!$A:$G,7,0)),"")</f>
        <v>64</v>
      </c>
      <c r="T41" s="37">
        <f>IFERROR(IF(VLOOKUP(A41,Adequacy!$A:$H,8,0)="","",VLOOKUP(A41,Adequacy!$A:$H,8,0)),"")</f>
        <v>120</v>
      </c>
      <c r="U41" s="37">
        <f>IFERROR(IF(VLOOKUP(A41,Adequacy!$A:$J,10,0)="","",VLOOKUP(A41,Adequacy!$A:$J,10,0)),"")</f>
        <v>0.15151515151515155</v>
      </c>
      <c r="V41" s="37" t="str">
        <f>IFERROR(IF(VLOOKUP(A41,'Water Quality Score'!$A:$C,3,0)="","",VLOOKUP(A41,'Water Quality Score'!$A:$C,3,0)),"")</f>
        <v>Yes</v>
      </c>
      <c r="W41" s="37" t="str">
        <f>IFERROR(IF(VLOOKUP(A41,'Water Quality Score'!$A:$D,4,0)="","",VLOOKUP(A41,'Water Quality Score'!$A:$D,4,0)),"")</f>
        <v>Yes</v>
      </c>
      <c r="X41" s="37" t="str">
        <f>IFERROR(IF(VLOOKUP(A41,'Water Quality Score'!$A:$E,5,0)="","",VLOOKUP(A41,'Water Quality Score'!$A:$E,5,0)),"")</f>
        <v>Yes</v>
      </c>
      <c r="Y41" s="37">
        <f>IFERROR(IF(VLOOKUP(A41,'Water Quality Score'!$A:$F,6,0)="","",VLOOKUP(A41,'Water Quality Score'!$A:$F,6,0)),"")</f>
        <v>1</v>
      </c>
      <c r="Z41" s="37">
        <f>IFERROR(IF(VLOOKUP(A41,'Reliability score'!$A:$C,3,0)="","",VLOOKUP(A41,'Reliability score'!$A:$C,3,0)),"")</f>
        <v>3</v>
      </c>
      <c r="AA41" s="37">
        <f>IFERROR(IF(VLOOKUP(A41,'Reliability score'!$A:$D,4,0)="","",VLOOKUP(A41,'Reliability score'!$A:$D,4,0)),"")</f>
        <v>0.5</v>
      </c>
      <c r="AB41" s="37" t="str">
        <f>IFERROR(IF(VLOOKUP(A41,NRW!$A:$C,3,0)="","",VLOOKUP(A41,NRW!$A:$C,3,0)),"")</f>
        <v>No</v>
      </c>
      <c r="AC41" s="37" t="str">
        <f>IFERROR(IF(VLOOKUP(A41,NRW!$A:$D,4,0)="","",VLOOKUP(A41,NRW!$A:$D,4,0)),"")</f>
        <v>No</v>
      </c>
      <c r="AD41" s="37" t="str">
        <f>IFERROR(IF(VLOOKUP(A41,NRW!$A:$E,5,0)="","",VLOOKUP(A41,NRW!$A:$E,5,0)),"")</f>
        <v>No</v>
      </c>
      <c r="AE41" s="37" t="str">
        <f>IFERROR(IF(VLOOKUP(A41,NRW!$A:$F,6,0)="","",VLOOKUP(A41,NRW!$A:$F,6,0)),"")</f>
        <v>No</v>
      </c>
      <c r="AF41" s="37" t="str">
        <f>IFERROR(IF(VLOOKUP(A41,NRW!$A:$G,7,0)="","",VLOOKUP(A41,NRW!$A:$G,7,0)),"")</f>
        <v>No</v>
      </c>
      <c r="AG41" s="37" t="str">
        <f>IFERROR(IF(OR(VLOOKUP(A41,NRW!$A:$H,8,0)="",VLOOKUP(A41,NRW!$A:$H,8,0)=0),"",VLOOKUP(A41,NRW!$A:$H,8,0)),"")</f>
        <v/>
      </c>
      <c r="AH41" s="37">
        <f>IFERROR(IF(VLOOKUP(A41,'O&amp;M score'!$A:$D,4,0)="","",VLOOKUP(A41,'O&amp;M score'!$A:$D,4,0)),"")</f>
        <v>16200000</v>
      </c>
      <c r="AI41" s="37">
        <f>IFERROR(IF(VLOOKUP(A41,'O&amp;M score'!$A:$E,5,0)="","",VLOOKUP(A41,'O&amp;M score'!$A:$E,5,0)),"")</f>
        <v>12100000</v>
      </c>
      <c r="AJ41" s="37">
        <f>IFERROR(IF(VLOOKUP(A41,'O&amp;M score'!$A:$F,6,0)="","",VLOOKUP(A41,'O&amp;M score'!$A:$F,6,0)),"")</f>
        <v>1.3388429752066116</v>
      </c>
      <c r="AK41" s="37">
        <f>IFERROR(IF(VLOOKUP(A41,'O&amp;M score'!$A:$G,7,0)="","",VLOOKUP(A41,'O&amp;M score'!$A:$G,7,0)),"")</f>
        <v>0</v>
      </c>
      <c r="AL41" s="37">
        <f>IFERROR(IF(VLOOKUP(A41,'Metering Ratio Score'!$A:$C,3,0)="","",VLOOKUP(A41,'Metering Ratio Score'!$A:$C,3,0)),"")</f>
        <v>2350</v>
      </c>
      <c r="AM41" s="37">
        <f>IFERROR(IF(VLOOKUP(A41,'Metering Ratio Score'!$A:$D,4,0)="","",VLOOKUP(A41,'Metering Ratio Score'!$A:$D,4,0)),"")</f>
        <v>2500</v>
      </c>
      <c r="AN41" s="37">
        <f>IFERROR(IF(VLOOKUP(A41,'Metering Ratio Score'!$A:$E,5,0)="","",VLOOKUP(A41,'Metering Ratio Score'!$A:$E,5,0)),"")</f>
        <v>94</v>
      </c>
      <c r="AO41" s="37">
        <f>IFERROR(IF(VLOOKUP(A41,'Metering Ratio Score'!$A:$F,6,0)="","",VLOOKUP(A41,'Metering Ratio Score'!$A:$F,6,0)),"")</f>
        <v>0.85</v>
      </c>
      <c r="AP41" s="37" t="str">
        <f>IFERROR(IF(VLOOKUP(A41,'Grievance Addressal'!$A:$C,3,0)="","",VLOOKUP(A41,'Grievance Addressal'!$A:$C,3,0)),"")</f>
        <v>Yes</v>
      </c>
      <c r="AQ41" s="37" t="str">
        <f>IFERROR(IF(VLOOKUP(A41,'Grievance Addressal'!$A:$D,4,0)="","",VLOOKUP(A41,'Grievance Addressal'!$A:$D,4,0)),"")</f>
        <v>Yes</v>
      </c>
      <c r="AR41" s="37">
        <f>IFERROR(IF(VLOOKUP(A41,'Grievance Addressal'!$A:$E,5,0)="","",VLOOKUP(A41,'Grievance Addressal'!$A:$E,5,0)),"")</f>
        <v>1</v>
      </c>
      <c r="AS41" s="37">
        <f>IFERROR(IF(VLOOKUP(A41,Summary_Index!$A$5:$N$281,7,0)="","",VLOOKUP(A41,Summary_Index!$A$5:$N$281,7,0)),"")</f>
        <v>58.6</v>
      </c>
      <c r="AT41" s="37">
        <f>IFERROR(IF(VLOOKUP(A41,Summary_Index!$A$5:$N$281,12,0)="","",VLOOKUP(A41,Summary_Index!$A$5:$N$281,12,0)),"")</f>
        <v>42</v>
      </c>
      <c r="AU41" s="37">
        <f>IFERROR(IF(VLOOKUP(A41,Summary_Index!$A$5:$N$281,13,0)="","",VLOOKUP(A41,Summary_Index!$A$5:$N$281,13,0)),"")</f>
        <v>7</v>
      </c>
      <c r="AV41" s="37" t="str">
        <f>IFERROR(IF(VLOOKUP(A41,Summary_Index!$A$5:$N$281,14,0)="","",VLOOKUP(A41,Summary_Index!$A$5:$N$281,14,0)),"")</f>
        <v>7. Inactive — Functioning Level</v>
      </c>
    </row>
    <row r="42" spans="1:48" ht="45.6" customHeight="1" x14ac:dyDescent="0.3">
      <c r="A42" s="37">
        <f>Spatial!A42</f>
        <v>41</v>
      </c>
      <c r="B42" s="37" t="str">
        <f>Spatial!B42</f>
        <v>Halesi Area Khotang Large Pumping</v>
      </c>
      <c r="C42" s="37" t="str">
        <f>Spatial!C42</f>
        <v>Koshi</v>
      </c>
      <c r="D42" s="37" t="str">
        <f>Spatial!D42</f>
        <v>Khotang District</v>
      </c>
      <c r="E42" s="37" t="str">
        <f>Spatial!E42</f>
        <v>Municipality</v>
      </c>
      <c r="F42" s="37" t="str">
        <f>Spatial!F42</f>
        <v>Halesi Tuwachung</v>
      </c>
      <c r="G42" s="37" t="str">
        <f>IFERROR(Spatial!G42,"")</f>
        <v>1,2,3,4,5,6,7</v>
      </c>
      <c r="H42" s="37"/>
      <c r="I42" s="37"/>
      <c r="J42" s="37" t="str">
        <f t="shared" si="0"/>
        <v>Halesi Tuwachung_Khotang District</v>
      </c>
      <c r="K42" s="37" t="str">
        <f>IFERROR(IF(VLOOKUP(A42,'Service Coverage'!$A:$C,3,0)="","",VLOOKUP(A42,'Service Coverage'!$A:$C,3,0)),"")</f>
        <v>No</v>
      </c>
      <c r="L42" s="37">
        <f>IFERROR(IF(VLOOKUP(A42,'Service Coverage'!$A:$D,4,0)="","",VLOOKUP(A42,'Service Coverage'!$A:$D,4,0)),"")</f>
        <v>2200</v>
      </c>
      <c r="M42" s="37">
        <f>IFERROR(IF(VLOOKUP(A42,'Service Coverage'!$A:$E,5,0)="","",VLOOKUP(A42,'Service Coverage'!$A:$E,5,0)),"")</f>
        <v>5000</v>
      </c>
      <c r="N42" s="37">
        <f>IFERROR(IF(VLOOKUP(A42,'Service Coverage'!$A:$F,6,0)="","",VLOOKUP(A42,'Service Coverage'!$A:$F,6,0)),"")</f>
        <v>44</v>
      </c>
      <c r="O42" s="37">
        <f>IFERROR(IF(VLOOKUP(A42,'Service Coverage'!$A:$G,7,0)="","",VLOOKUP(A42,'Service Coverage'!$A:$G,7,0)),"")</f>
        <v>0</v>
      </c>
      <c r="P42" s="37" t="str">
        <f>IFERROR(IF(VLOOKUP(A42,Adequacy!$A:$C,3,0)="","",VLOOKUP(A42,Adequacy!$A:$C,3,0)),"")</f>
        <v>Pumped</v>
      </c>
      <c r="Q42" s="37">
        <f>IFERROR(IF(VLOOKUP(A42,Adequacy!$A:$D,4,0)="","",VLOOKUP(A42,Adequacy!$A:$D,4,0)),"")</f>
        <v>200</v>
      </c>
      <c r="R42" s="37">
        <f>IFERROR(IF(VLOOKUP(A42,Adequacy!$A:$E,5,0)="","",VLOOKUP(A42,Adequacy!$A:$E,5,0)),"")</f>
        <v>11000</v>
      </c>
      <c r="S42" s="37">
        <f>IFERROR(IF(VLOOKUP(A42,Adequacy!$A:$G,7,0)="","",VLOOKUP(A42,Adequacy!$A:$G,7,0)),"")</f>
        <v>0.60606060606060608</v>
      </c>
      <c r="T42" s="37">
        <f>IFERROR(IF(VLOOKUP(A42,Adequacy!$A:$H,8,0)="","",VLOOKUP(A42,Adequacy!$A:$H,8,0)),"")</f>
        <v>100</v>
      </c>
      <c r="U42" s="37">
        <f>IFERROR(IF(VLOOKUP(A42,Adequacy!$A:$J,10,0)="","",VLOOKUP(A42,Adequacy!$A:$J,10,0)),"")</f>
        <v>0</v>
      </c>
      <c r="V42" s="37" t="str">
        <f>IFERROR(IF(VLOOKUP(A42,'Water Quality Score'!$A:$C,3,0)="","",VLOOKUP(A42,'Water Quality Score'!$A:$C,3,0)),"")</f>
        <v>No</v>
      </c>
      <c r="W42" s="37" t="str">
        <f>IFERROR(IF(VLOOKUP(A42,'Water Quality Score'!$A:$D,4,0)="","",VLOOKUP(A42,'Water Quality Score'!$A:$D,4,0)),"")</f>
        <v>No</v>
      </c>
      <c r="X42" s="37" t="str">
        <f>IFERROR(IF(VLOOKUP(A42,'Water Quality Score'!$A:$E,5,0)="","",VLOOKUP(A42,'Water Quality Score'!$A:$E,5,0)),"")</f>
        <v>No</v>
      </c>
      <c r="Y42" s="37">
        <f>IFERROR(IF(VLOOKUP(A42,'Water Quality Score'!$A:$F,6,0)="","",VLOOKUP(A42,'Water Quality Score'!$A:$F,6,0)),"")</f>
        <v>0</v>
      </c>
      <c r="Z42" s="37">
        <f>IFERROR(IF(VLOOKUP(A42,'Reliability score'!$A:$C,3,0)="","",VLOOKUP(A42,'Reliability score'!$A:$C,3,0)),"")</f>
        <v>3</v>
      </c>
      <c r="AA42" s="37">
        <f>IFERROR(IF(VLOOKUP(A42,'Reliability score'!$A:$D,4,0)="","",VLOOKUP(A42,'Reliability score'!$A:$D,4,0)),"")</f>
        <v>0.5</v>
      </c>
      <c r="AB42" s="37" t="str">
        <f>IFERROR(IF(VLOOKUP(A42,NRW!$A:$C,3,0)="","",VLOOKUP(A42,NRW!$A:$C,3,0)),"")</f>
        <v>Yes</v>
      </c>
      <c r="AC42" s="37" t="str">
        <f>IFERROR(IF(VLOOKUP(A42,NRW!$A:$D,4,0)="","",VLOOKUP(A42,NRW!$A:$D,4,0)),"")</f>
        <v>Yes</v>
      </c>
      <c r="AD42" s="37" t="str">
        <f>IFERROR(IF(VLOOKUP(A42,NRW!$A:$E,5,0)="","",VLOOKUP(A42,NRW!$A:$E,5,0)),"")</f>
        <v>No</v>
      </c>
      <c r="AE42" s="37" t="str">
        <f>IFERROR(IF(VLOOKUP(A42,NRW!$A:$F,6,0)="","",VLOOKUP(A42,NRW!$A:$F,6,0)),"")</f>
        <v>No</v>
      </c>
      <c r="AF42" s="37" t="str">
        <f>IFERROR(IF(VLOOKUP(A42,NRW!$A:$G,7,0)="","",VLOOKUP(A42,NRW!$A:$G,7,0)),"")</f>
        <v>No</v>
      </c>
      <c r="AG42" s="37">
        <f>IFERROR(IF(OR(VLOOKUP(A42,NRW!$A:$H,8,0)="",VLOOKUP(A42,NRW!$A:$H,8,0)=0),"",VLOOKUP(A42,NRW!$A:$H,8,0)),"")</f>
        <v>0.1</v>
      </c>
      <c r="AH42" s="37">
        <f>IFERROR(IF(VLOOKUP(A42,'O&amp;M score'!$A:$D,4,0)="","",VLOOKUP(A42,'O&amp;M score'!$A:$D,4,0)),"")</f>
        <v>600000</v>
      </c>
      <c r="AI42" s="37">
        <f>IFERROR(IF(VLOOKUP(A42,'O&amp;M score'!$A:$E,5,0)="","",VLOOKUP(A42,'O&amp;M score'!$A:$E,5,0)),"")</f>
        <v>300000</v>
      </c>
      <c r="AJ42" s="37">
        <f>IFERROR(IF(VLOOKUP(A42,'O&amp;M score'!$A:$F,6,0)="","",VLOOKUP(A42,'O&amp;M score'!$A:$F,6,0)),"")</f>
        <v>2</v>
      </c>
      <c r="AK42" s="37">
        <f>IFERROR(IF(VLOOKUP(A42,'O&amp;M score'!$A:$G,7,0)="","",VLOOKUP(A42,'O&amp;M score'!$A:$G,7,0)),"")</f>
        <v>0</v>
      </c>
      <c r="AL42" s="37">
        <f>IFERROR(IF(VLOOKUP(A42,'Metering Ratio Score'!$A:$C,3,0)="","",VLOOKUP(A42,'Metering Ratio Score'!$A:$C,3,0)),"")</f>
        <v>1100</v>
      </c>
      <c r="AM42" s="37">
        <f>IFERROR(IF(VLOOKUP(A42,'Metering Ratio Score'!$A:$D,4,0)="","",VLOOKUP(A42,'Metering Ratio Score'!$A:$D,4,0)),"")</f>
        <v>1100</v>
      </c>
      <c r="AN42" s="37">
        <f>IFERROR(IF(VLOOKUP(A42,'Metering Ratio Score'!$A:$E,5,0)="","",VLOOKUP(A42,'Metering Ratio Score'!$A:$E,5,0)),"")</f>
        <v>100</v>
      </c>
      <c r="AO42" s="37">
        <f>IFERROR(IF(VLOOKUP(A42,'Metering Ratio Score'!$A:$F,6,0)="","",VLOOKUP(A42,'Metering Ratio Score'!$A:$F,6,0)),"")</f>
        <v>1</v>
      </c>
      <c r="AP42" s="37" t="str">
        <f>IFERROR(IF(VLOOKUP(A42,'Grievance Addressal'!$A:$C,3,0)="","",VLOOKUP(A42,'Grievance Addressal'!$A:$C,3,0)),"")</f>
        <v>Yes</v>
      </c>
      <c r="AQ42" s="37" t="str">
        <f>IFERROR(IF(VLOOKUP(A42,'Grievance Addressal'!$A:$D,4,0)="","",VLOOKUP(A42,'Grievance Addressal'!$A:$D,4,0)),"")</f>
        <v>Yes</v>
      </c>
      <c r="AR42" s="37">
        <f>IFERROR(IF(VLOOKUP(A42,'Grievance Addressal'!$A:$E,5,0)="","",VLOOKUP(A42,'Grievance Addressal'!$A:$E,5,0)),"")</f>
        <v>1</v>
      </c>
      <c r="AS42" s="37">
        <f>IFERROR(IF(VLOOKUP(A42,Summary_Index!$A$5:$N$281,7,0)="","",VLOOKUP(A42,Summary_Index!$A$5:$N$281,7,0)),"")</f>
        <v>10</v>
      </c>
      <c r="AT42" s="37">
        <f>IFERROR(IF(VLOOKUP(A42,Summary_Index!$A$5:$N$281,12,0)="","",VLOOKUP(A42,Summary_Index!$A$5:$N$281,12,0)),"")</f>
        <v>48</v>
      </c>
      <c r="AU42" s="37">
        <f>IFERROR(IF(VLOOKUP(A42,Summary_Index!$A$5:$N$281,13,0)="","",VLOOKUP(A42,Summary_Index!$A$5:$N$281,13,0)),"")</f>
        <v>8</v>
      </c>
      <c r="AV42" s="37" t="str">
        <f>IFERROR(IF(VLOOKUP(A42,Summary_Index!$A$5:$N$281,14,0)="","",VLOOKUP(A42,Summary_Index!$A$5:$N$281,14,0)),"")</f>
        <v>8. Poor — Functioning Level</v>
      </c>
    </row>
    <row r="43" spans="1:48" ht="45.6" customHeight="1" x14ac:dyDescent="0.3">
      <c r="A43" s="37">
        <f>Spatial!A43</f>
        <v>42</v>
      </c>
      <c r="B43" s="37" t="str">
        <f>Spatial!B43</f>
        <v>Kakarvitta_WSUC</v>
      </c>
      <c r="C43" s="37" t="str">
        <f>Spatial!C43</f>
        <v>Koshi</v>
      </c>
      <c r="D43" s="37" t="str">
        <f>Spatial!D43</f>
        <v>Jhapa</v>
      </c>
      <c r="E43" s="37" t="str">
        <f>Spatial!E43</f>
        <v>Municipality</v>
      </c>
      <c r="F43" s="37" t="str">
        <f>Spatial!F43</f>
        <v>Mechinagar</v>
      </c>
      <c r="G43" s="37" t="str">
        <f>IFERROR(Spatial!G43,"")</f>
        <v>2,3,4,5,6,7,8</v>
      </c>
      <c r="H43" s="37"/>
      <c r="I43" s="37"/>
      <c r="J43" s="37" t="str">
        <f t="shared" si="0"/>
        <v>Mechinagar_Jhapa</v>
      </c>
      <c r="K43" s="37" t="str">
        <f>IFERROR(IF(VLOOKUP(A43,'Service Coverage'!$A:$C,3,0)="","",VLOOKUP(A43,'Service Coverage'!$A:$C,3,0)),"")</f>
        <v>Yes</v>
      </c>
      <c r="L43" s="37">
        <f>IFERROR(IF(VLOOKUP(A43,'Service Coverage'!$A:$D,4,0)="","",VLOOKUP(A43,'Service Coverage'!$A:$D,4,0)),"")</f>
        <v>8755</v>
      </c>
      <c r="M43" s="37">
        <f>IFERROR(IF(VLOOKUP(A43,'Service Coverage'!$A:$E,5,0)="","",VLOOKUP(A43,'Service Coverage'!$A:$E,5,0)),"")</f>
        <v>10385</v>
      </c>
      <c r="N43" s="37">
        <f>IFERROR(IF(VLOOKUP(A43,'Service Coverage'!$A:$F,6,0)="","",VLOOKUP(A43,'Service Coverage'!$A:$F,6,0)),"")</f>
        <v>84.3042850264805</v>
      </c>
      <c r="O43" s="37">
        <f>IFERROR(IF(VLOOKUP(A43,'Service Coverage'!$A:$G,7,0)="","",VLOOKUP(A43,'Service Coverage'!$A:$G,7,0)),"")</f>
        <v>0.60760712566201247</v>
      </c>
      <c r="P43" s="37" t="str">
        <f>IFERROR(IF(VLOOKUP(A43,Adequacy!$A:$C,3,0)="","",VLOOKUP(A43,Adequacy!$A:$C,3,0)),"")</f>
        <v>Pumped</v>
      </c>
      <c r="Q43" s="37" t="str">
        <f>IFERROR(IF(VLOOKUP(A43,Adequacy!$A:$D,4,0)="","",VLOOKUP(A43,Adequacy!$A:$D,4,0)),"")</f>
        <v/>
      </c>
      <c r="R43" s="37" t="str">
        <f>IFERROR(IF(VLOOKUP(A43,Adequacy!$A:$E,5,0)="","",VLOOKUP(A43,Adequacy!$A:$E,5,0)),"")</f>
        <v/>
      </c>
      <c r="S43" s="37" t="str">
        <f>IFERROR(IF(VLOOKUP(A43,Adequacy!$A:$G,7,0)="","",VLOOKUP(A43,Adequacy!$A:$G,7,0)),"")</f>
        <v/>
      </c>
      <c r="T43" s="37">
        <f>IFERROR(IF(VLOOKUP(A43,Adequacy!$A:$H,8,0)="","",VLOOKUP(A43,Adequacy!$A:$H,8,0)),"")</f>
        <v>100</v>
      </c>
      <c r="U43" s="37" t="str">
        <f>IFERROR(IF(VLOOKUP(A43,Adequacy!$A:$J,10,0)="","",VLOOKUP(A43,Adequacy!$A:$J,10,0)),"")</f>
        <v/>
      </c>
      <c r="V43" s="37" t="str">
        <f>IFERROR(IF(VLOOKUP(A43,'Water Quality Score'!$A:$C,3,0)="","",VLOOKUP(A43,'Water Quality Score'!$A:$C,3,0)),"")</f>
        <v>Yes</v>
      </c>
      <c r="W43" s="37" t="str">
        <f>IFERROR(IF(VLOOKUP(A43,'Water Quality Score'!$A:$D,4,0)="","",VLOOKUP(A43,'Water Quality Score'!$A:$D,4,0)),"")</f>
        <v>No</v>
      </c>
      <c r="X43" s="37" t="str">
        <f>IFERROR(IF(VLOOKUP(A43,'Water Quality Score'!$A:$E,5,0)="","",VLOOKUP(A43,'Water Quality Score'!$A:$E,5,0)),"")</f>
        <v>No</v>
      </c>
      <c r="Y43" s="37">
        <f>IFERROR(IF(VLOOKUP(A43,'Water Quality Score'!$A:$F,6,0)="","",VLOOKUP(A43,'Water Quality Score'!$A:$F,6,0)),"")</f>
        <v>0.2</v>
      </c>
      <c r="Z43" s="37">
        <f>IFERROR(IF(VLOOKUP(A43,'Reliability score'!$A:$C,3,0)="","",VLOOKUP(A43,'Reliability score'!$A:$C,3,0)),"")</f>
        <v>24</v>
      </c>
      <c r="AA43" s="37">
        <f>IFERROR(IF(VLOOKUP(A43,'Reliability score'!$A:$D,4,0)="","",VLOOKUP(A43,'Reliability score'!$A:$D,4,0)),"")</f>
        <v>1</v>
      </c>
      <c r="AB43" s="37" t="str">
        <f>IFERROR(IF(VLOOKUP(A43,NRW!$A:$C,3,0)="","",VLOOKUP(A43,NRW!$A:$C,3,0)),"")</f>
        <v>Yes</v>
      </c>
      <c r="AC43" s="37" t="str">
        <f>IFERROR(IF(VLOOKUP(A43,NRW!$A:$D,4,0)="","",VLOOKUP(A43,NRW!$A:$D,4,0)),"")</f>
        <v>Yes</v>
      </c>
      <c r="AD43" s="37" t="str">
        <f>IFERROR(IF(VLOOKUP(A43,NRW!$A:$E,5,0)="","",VLOOKUP(A43,NRW!$A:$E,5,0)),"")</f>
        <v>Yes</v>
      </c>
      <c r="AE43" s="37" t="str">
        <f>IFERROR(IF(VLOOKUP(A43,NRW!$A:$F,6,0)="","",VLOOKUP(A43,NRW!$A:$F,6,0)),"")</f>
        <v>No</v>
      </c>
      <c r="AF43" s="37" t="str">
        <f>IFERROR(IF(VLOOKUP(A43,NRW!$A:$G,7,0)="","",VLOOKUP(A43,NRW!$A:$G,7,0)),"")</f>
        <v>No</v>
      </c>
      <c r="AG43" s="37">
        <f>IFERROR(IF(OR(VLOOKUP(A43,NRW!$A:$H,8,0)="",VLOOKUP(A43,NRW!$A:$H,8,0)=0),"",VLOOKUP(A43,NRW!$A:$H,8,0)),"")</f>
        <v>0.2</v>
      </c>
      <c r="AH43" s="37">
        <f>IFERROR(IF(VLOOKUP(A43,'O&amp;M score'!$A:$D,4,0)="","",VLOOKUP(A43,'O&amp;M score'!$A:$D,4,0)),"")</f>
        <v>35437864</v>
      </c>
      <c r="AI43" s="37">
        <f>IFERROR(IF(VLOOKUP(A43,'O&amp;M score'!$A:$E,5,0)="","",VLOOKUP(A43,'O&amp;M score'!$A:$E,5,0)),"")</f>
        <v>55229938</v>
      </c>
      <c r="AJ43" s="37">
        <f>IFERROR(IF(VLOOKUP(A43,'O&amp;M score'!$A:$F,6,0)="","",VLOOKUP(A43,'O&amp;M score'!$A:$F,6,0)),"")</f>
        <v>0.64164229190335142</v>
      </c>
      <c r="AK43" s="37">
        <f>IFERROR(IF(VLOOKUP(A43,'O&amp;M score'!$A:$G,7,0)="","",VLOOKUP(A43,'O&amp;M score'!$A:$G,7,0)),"")</f>
        <v>1</v>
      </c>
      <c r="AL43" s="37" t="str">
        <f>IFERROR(IF(VLOOKUP(A43,'Metering Ratio Score'!$A:$C,3,0)="","",VLOOKUP(A43,'Metering Ratio Score'!$A:$C,3,0)),"")</f>
        <v/>
      </c>
      <c r="AM43" s="37" t="str">
        <f>IFERROR(IF(VLOOKUP(A43,'Metering Ratio Score'!$A:$D,4,0)="","",VLOOKUP(A43,'Metering Ratio Score'!$A:$D,4,0)),"")</f>
        <v/>
      </c>
      <c r="AN43" s="37" t="str">
        <f>IFERROR(IF(VLOOKUP(A43,'Metering Ratio Score'!$A:$E,5,0)="","",VLOOKUP(A43,'Metering Ratio Score'!$A:$E,5,0)),"")</f>
        <v/>
      </c>
      <c r="AO43" s="37" t="str">
        <f>IFERROR(IF(VLOOKUP(A43,'Metering Ratio Score'!$A:$F,6,0)="","",VLOOKUP(A43,'Metering Ratio Score'!$A:$F,6,0)),"")</f>
        <v/>
      </c>
      <c r="AP43" s="37" t="str">
        <f>IFERROR(IF(VLOOKUP(A43,'Grievance Addressal'!$A:$C,3,0)="","",VLOOKUP(A43,'Grievance Addressal'!$A:$C,3,0)),"")</f>
        <v>Yes</v>
      </c>
      <c r="AQ43" s="37" t="str">
        <f>IFERROR(IF(VLOOKUP(A43,'Grievance Addressal'!$A:$D,4,0)="","",VLOOKUP(A43,'Grievance Addressal'!$A:$D,4,0)),"")</f>
        <v>Yes</v>
      </c>
      <c r="AR43" s="37">
        <f>IFERROR(IF(VLOOKUP(A43,'Grievance Addressal'!$A:$E,5,0)="","",VLOOKUP(A43,'Grievance Addressal'!$A:$E,5,0)),"")</f>
        <v>1</v>
      </c>
      <c r="AS43" s="37" t="str">
        <f>IFERROR(IF(VLOOKUP(A43,Summary_Index!$A$5:$N$281,7,0)="","",VLOOKUP(A43,Summary_Index!$A$5:$N$281,7,0)),"")</f>
        <v/>
      </c>
      <c r="AT43" s="37">
        <f>IFERROR(IF(VLOOKUP(A43,Summary_Index!$A$5:$N$281,12,0)="","",VLOOKUP(A43,Summary_Index!$A$5:$N$281,12,0)),"")</f>
        <v>76</v>
      </c>
      <c r="AU43" s="37" t="str">
        <f>IFERROR(IF(VLOOKUP(A43,Summary_Index!$A$5:$N$281,13,0)="","",VLOOKUP(A43,Summary_Index!$A$5:$N$281,13,0)),"")</f>
        <v/>
      </c>
      <c r="AV43" s="37" t="str">
        <f>IFERROR(IF(VLOOKUP(A43,Summary_Index!$A$5:$N$281,14,0)="","",VLOOKUP(A43,Summary_Index!$A$5:$N$281,14,0)),"")</f>
        <v/>
      </c>
    </row>
    <row r="44" spans="1:48" ht="45.6" customHeight="1" x14ac:dyDescent="0.3">
      <c r="A44" s="37">
        <f>Spatial!A44</f>
        <v>43</v>
      </c>
      <c r="B44" s="37" t="str">
        <f>Spatial!B44</f>
        <v>Khalanga_WSUC</v>
      </c>
      <c r="C44" s="37" t="str">
        <f>Spatial!C44</f>
        <v>Sudurpaschim</v>
      </c>
      <c r="D44" s="37" t="str">
        <f>Spatial!D44</f>
        <v>Darchula District</v>
      </c>
      <c r="E44" s="37" t="str">
        <f>Spatial!E44</f>
        <v>Municipality</v>
      </c>
      <c r="F44" s="37" t="str">
        <f>Spatial!F44</f>
        <v>Mahakali</v>
      </c>
      <c r="G44" s="37" t="str">
        <f>IFERROR(Spatial!G44,"")</f>
        <v>4,5</v>
      </c>
      <c r="H44" s="37"/>
      <c r="I44" s="37"/>
      <c r="J44" s="37" t="str">
        <f t="shared" si="0"/>
        <v>Mahakali_Darchula District</v>
      </c>
      <c r="K44" s="37" t="str">
        <f>IFERROR(IF(VLOOKUP(A44,'Service Coverage'!$A:$C,3,0)="","",VLOOKUP(A44,'Service Coverage'!$A:$C,3,0)),"")</f>
        <v>Yes</v>
      </c>
      <c r="L44" s="37">
        <f>IFERROR(IF(VLOOKUP(A44,'Service Coverage'!$A:$D,4,0)="","",VLOOKUP(A44,'Service Coverage'!$A:$D,4,0)),"")</f>
        <v>2440</v>
      </c>
      <c r="M44" s="37">
        <f>IFERROR(IF(VLOOKUP(A44,'Service Coverage'!$A:$E,5,0)="","",VLOOKUP(A44,'Service Coverage'!$A:$E,5,0)),"")</f>
        <v>2440</v>
      </c>
      <c r="N44" s="37">
        <f>IFERROR(IF(VLOOKUP(A44,'Service Coverage'!$A:$F,6,0)="","",VLOOKUP(A44,'Service Coverage'!$A:$F,6,0)),"")</f>
        <v>100</v>
      </c>
      <c r="O44" s="37">
        <f>IFERROR(IF(VLOOKUP(A44,'Service Coverage'!$A:$G,7,0)="","",VLOOKUP(A44,'Service Coverage'!$A:$G,7,0)),"")</f>
        <v>1</v>
      </c>
      <c r="P44" s="37" t="str">
        <f>IFERROR(IF(VLOOKUP(A44,Adequacy!$A:$C,3,0)="","",VLOOKUP(A44,Adequacy!$A:$C,3,0)),"")</f>
        <v>Gravity</v>
      </c>
      <c r="Q44" s="37">
        <f>IFERROR(IF(VLOOKUP(A44,Adequacy!$A:$D,4,0)="","",VLOOKUP(A44,Adequacy!$A:$D,4,0)),"")</f>
        <v>150</v>
      </c>
      <c r="R44" s="37">
        <f>IFERROR(IF(VLOOKUP(A44,Adequacy!$A:$E,5,0)="","",VLOOKUP(A44,Adequacy!$A:$E,5,0)),"")</f>
        <v>11956</v>
      </c>
      <c r="S44" s="37">
        <f>IFERROR(IF(VLOOKUP(A44,Adequacy!$A:$G,7,0)="","",VLOOKUP(A44,Adequacy!$A:$G,7,0)),"")</f>
        <v>0.41820006691201073</v>
      </c>
      <c r="T44" s="37">
        <f>IFERROR(IF(VLOOKUP(A44,Adequacy!$A:$H,8,0)="","",VLOOKUP(A44,Adequacy!$A:$H,8,0)),"")</f>
        <v>120</v>
      </c>
      <c r="U44" s="37">
        <f>IFERROR(IF(VLOOKUP(A44,Adequacy!$A:$J,10,0)="","",VLOOKUP(A44,Adequacy!$A:$J,10,0)),"")</f>
        <v>0</v>
      </c>
      <c r="V44" s="37" t="str">
        <f>IFERROR(IF(VLOOKUP(A44,'Water Quality Score'!$A:$C,3,0)="","",VLOOKUP(A44,'Water Quality Score'!$A:$C,3,0)),"")</f>
        <v>Yes</v>
      </c>
      <c r="W44" s="37" t="str">
        <f>IFERROR(IF(VLOOKUP(A44,'Water Quality Score'!$A:$D,4,0)="","",VLOOKUP(A44,'Water Quality Score'!$A:$D,4,0)),"")</f>
        <v>Yes</v>
      </c>
      <c r="X44" s="37" t="str">
        <f>IFERROR(IF(VLOOKUP(A44,'Water Quality Score'!$A:$E,5,0)="","",VLOOKUP(A44,'Water Quality Score'!$A:$E,5,0)),"")</f>
        <v>Yes</v>
      </c>
      <c r="Y44" s="37">
        <f>IFERROR(IF(VLOOKUP(A44,'Water Quality Score'!$A:$F,6,0)="","",VLOOKUP(A44,'Water Quality Score'!$A:$F,6,0)),"")</f>
        <v>1</v>
      </c>
      <c r="Z44" s="37">
        <f>IFERROR(IF(VLOOKUP(A44,'Reliability score'!$A:$C,3,0)="","",VLOOKUP(A44,'Reliability score'!$A:$C,3,0)),"")</f>
        <v>4</v>
      </c>
      <c r="AA44" s="37">
        <f>IFERROR(IF(VLOOKUP(A44,'Reliability score'!$A:$D,4,0)="","",VLOOKUP(A44,'Reliability score'!$A:$D,4,0)),"")</f>
        <v>0.52380952380952384</v>
      </c>
      <c r="AB44" s="37" t="str">
        <f>IFERROR(IF(VLOOKUP(A44,NRW!$A:$C,3,0)="","",VLOOKUP(A44,NRW!$A:$C,3,0)),"")</f>
        <v>No</v>
      </c>
      <c r="AC44" s="37" t="str">
        <f>IFERROR(IF(VLOOKUP(A44,NRW!$A:$D,4,0)="","",VLOOKUP(A44,NRW!$A:$D,4,0)),"")</f>
        <v>No</v>
      </c>
      <c r="AD44" s="37" t="str">
        <f>IFERROR(IF(VLOOKUP(A44,NRW!$A:$E,5,0)="","",VLOOKUP(A44,NRW!$A:$E,5,0)),"")</f>
        <v>Yes</v>
      </c>
      <c r="AE44" s="37" t="str">
        <f>IFERROR(IF(VLOOKUP(A44,NRW!$A:$F,6,0)="","",VLOOKUP(A44,NRW!$A:$F,6,0)),"")</f>
        <v>Yes</v>
      </c>
      <c r="AF44" s="37" t="str">
        <f>IFERROR(IF(VLOOKUP(A44,NRW!$A:$G,7,0)="","",VLOOKUP(A44,NRW!$A:$G,7,0)),"")</f>
        <v>Yes</v>
      </c>
      <c r="AG44" s="37" t="str">
        <f>IFERROR(IF(OR(VLOOKUP(A44,NRW!$A:$H,8,0)="",VLOOKUP(A44,NRW!$A:$H,8,0)=0),"",VLOOKUP(A44,NRW!$A:$H,8,0)),"")</f>
        <v/>
      </c>
      <c r="AH44" s="37">
        <f>IFERROR(IF(VLOOKUP(A44,'O&amp;M score'!$A:$D,4,0)="","",VLOOKUP(A44,'O&amp;M score'!$A:$D,4,0)),"")</f>
        <v>987915</v>
      </c>
      <c r="AI44" s="37">
        <f>IFERROR(IF(VLOOKUP(A44,'O&amp;M score'!$A:$E,5,0)="","",VLOOKUP(A44,'O&amp;M score'!$A:$E,5,0)),"")</f>
        <v>5315906</v>
      </c>
      <c r="AJ44" s="37">
        <f>IFERROR(IF(VLOOKUP(A44,'O&amp;M score'!$A:$F,6,0)="","",VLOOKUP(A44,'O&amp;M score'!$A:$F,6,0)),"")</f>
        <v>0.18584132225061917</v>
      </c>
      <c r="AK44" s="37">
        <f>IFERROR(IF(VLOOKUP(A44,'O&amp;M score'!$A:$G,7,0)="","",VLOOKUP(A44,'O&amp;M score'!$A:$G,7,0)),"")</f>
        <v>1</v>
      </c>
      <c r="AL44" s="37">
        <f>IFERROR(IF(VLOOKUP(A44,'Metering Ratio Score'!$A:$C,3,0)="","",VLOOKUP(A44,'Metering Ratio Score'!$A:$C,3,0)),"")</f>
        <v>2390</v>
      </c>
      <c r="AM44" s="37">
        <f>IFERROR(IF(VLOOKUP(A44,'Metering Ratio Score'!$A:$D,4,0)="","",VLOOKUP(A44,'Metering Ratio Score'!$A:$D,4,0)),"")</f>
        <v>2440</v>
      </c>
      <c r="AN44" s="37">
        <f>IFERROR(IF(VLOOKUP(A44,'Metering Ratio Score'!$A:$E,5,0)="","",VLOOKUP(A44,'Metering Ratio Score'!$A:$E,5,0)),"")</f>
        <v>97.950819672131146</v>
      </c>
      <c r="AO44" s="37">
        <f>IFERROR(IF(VLOOKUP(A44,'Metering Ratio Score'!$A:$F,6,0)="","",VLOOKUP(A44,'Metering Ratio Score'!$A:$F,6,0)),"")</f>
        <v>0.94877049180327866</v>
      </c>
      <c r="AP44" s="37" t="str">
        <f>IFERROR(IF(VLOOKUP(A44,'Grievance Addressal'!$A:$C,3,0)="","",VLOOKUP(A44,'Grievance Addressal'!$A:$C,3,0)),"")</f>
        <v>Yes</v>
      </c>
      <c r="AQ44" s="37" t="str">
        <f>IFERROR(IF(VLOOKUP(A44,'Grievance Addressal'!$A:$D,4,0)="","",VLOOKUP(A44,'Grievance Addressal'!$A:$D,4,0)),"")</f>
        <v>Yes</v>
      </c>
      <c r="AR44" s="37">
        <f>IFERROR(IF(VLOOKUP(A44,'Grievance Addressal'!$A:$E,5,0)="","",VLOOKUP(A44,'Grievance Addressal'!$A:$E,5,0)),"")</f>
        <v>1</v>
      </c>
      <c r="AS44" s="37">
        <f>IFERROR(IF(VLOOKUP(A44,Summary_Index!$A$5:$N$281,7,0)="","",VLOOKUP(A44,Summary_Index!$A$5:$N$281,7,0)),"")</f>
        <v>70.5</v>
      </c>
      <c r="AT44" s="37">
        <f>IFERROR(IF(VLOOKUP(A44,Summary_Index!$A$5:$N$281,12,0)="","",VLOOKUP(A44,Summary_Index!$A$5:$N$281,12,0)),"")</f>
        <v>69</v>
      </c>
      <c r="AU44" s="37">
        <f>IFERROR(IF(VLOOKUP(A44,Summary_Index!$A$5:$N$281,13,0)="","",VLOOKUP(A44,Summary_Index!$A$5:$N$281,13,0)),"")</f>
        <v>5</v>
      </c>
      <c r="AV44" s="37" t="str">
        <f>IFERROR(IF(VLOOKUP(A44,Summary_Index!$A$5:$N$281,14,0)="","",VLOOKUP(A44,Summary_Index!$A$5:$N$281,14,0)),"")</f>
        <v>5. Improving — Improving Level</v>
      </c>
    </row>
    <row r="45" spans="1:48" ht="45.6" customHeight="1" x14ac:dyDescent="0.3">
      <c r="A45" s="37">
        <f>Spatial!A45</f>
        <v>44</v>
      </c>
      <c r="B45" s="37" t="str">
        <f>Spatial!B45</f>
        <v>Nala_WSUC</v>
      </c>
      <c r="C45" s="37" t="str">
        <f>Spatial!C45</f>
        <v>Bagmati</v>
      </c>
      <c r="D45" s="37" t="str">
        <f>Spatial!D45</f>
        <v>Kavrepalanchok</v>
      </c>
      <c r="E45" s="37" t="str">
        <f>Spatial!E45</f>
        <v>Municipality</v>
      </c>
      <c r="F45" s="37" t="str">
        <f>Spatial!F45</f>
        <v>Banepa</v>
      </c>
      <c r="G45" s="37">
        <f>IFERROR(Spatial!G45,"")</f>
        <v>1</v>
      </c>
      <c r="H45" s="37"/>
      <c r="I45" s="37"/>
      <c r="J45" s="37" t="str">
        <f t="shared" si="0"/>
        <v>Banepa_Kavrepalanchok</v>
      </c>
      <c r="K45" s="37" t="str">
        <f>IFERROR(IF(VLOOKUP(A45,'Service Coverage'!$A:$C,3,0)="","",VLOOKUP(A45,'Service Coverage'!$A:$C,3,0)),"")</f>
        <v>No</v>
      </c>
      <c r="L45" s="37">
        <f>IFERROR(IF(VLOOKUP(A45,'Service Coverage'!$A:$D,4,0)="","",VLOOKUP(A45,'Service Coverage'!$A:$D,4,0)),"")</f>
        <v>411</v>
      </c>
      <c r="M45" s="37">
        <f>IFERROR(IF(VLOOKUP(A45,'Service Coverage'!$A:$E,5,0)="","",VLOOKUP(A45,'Service Coverage'!$A:$E,5,0)),"")</f>
        <v>411</v>
      </c>
      <c r="N45" s="37">
        <f>IFERROR(IF(VLOOKUP(A45,'Service Coverage'!$A:$F,6,0)="","",VLOOKUP(A45,'Service Coverage'!$A:$F,6,0)),"")</f>
        <v>100</v>
      </c>
      <c r="O45" s="37">
        <f>IFERROR(IF(VLOOKUP(A45,'Service Coverage'!$A:$G,7,0)="","",VLOOKUP(A45,'Service Coverage'!$A:$G,7,0)),"")</f>
        <v>1</v>
      </c>
      <c r="P45" s="37" t="str">
        <f>IFERROR(IF(VLOOKUP(A45,Adequacy!$A:$C,3,0)="","",VLOOKUP(A45,Adequacy!$A:$C,3,0)),"")</f>
        <v>Pumped</v>
      </c>
      <c r="Q45" s="37" t="str">
        <f>IFERROR(IF(VLOOKUP(A45,Adequacy!$A:$D,4,0)="","",VLOOKUP(A45,Adequacy!$A:$D,4,0)),"")</f>
        <v/>
      </c>
      <c r="R45" s="37">
        <f>IFERROR(IF(VLOOKUP(A45,Adequacy!$A:$E,5,0)="","",VLOOKUP(A45,Adequacy!$A:$E,5,0)),"")</f>
        <v>2055</v>
      </c>
      <c r="S45" s="37" t="str">
        <f>IFERROR(IF(VLOOKUP(A45,Adequacy!$A:$G,7,0)="","",VLOOKUP(A45,Adequacy!$A:$G,7,0)),"")</f>
        <v/>
      </c>
      <c r="T45" s="37">
        <f>IFERROR(IF(VLOOKUP(A45,Adequacy!$A:$H,8,0)="","",VLOOKUP(A45,Adequacy!$A:$H,8,0)),"")</f>
        <v>100</v>
      </c>
      <c r="U45" s="37" t="str">
        <f>IFERROR(IF(VLOOKUP(A45,Adequacy!$A:$J,10,0)="","",VLOOKUP(A45,Adequacy!$A:$J,10,0)),"")</f>
        <v/>
      </c>
      <c r="V45" s="37" t="str">
        <f>IFERROR(IF(VLOOKUP(A45,'Water Quality Score'!$A:$C,3,0)="","",VLOOKUP(A45,'Water Quality Score'!$A:$C,3,0)),"")</f>
        <v>No</v>
      </c>
      <c r="W45" s="37" t="str">
        <f>IFERROR(IF(VLOOKUP(A45,'Water Quality Score'!$A:$D,4,0)="","",VLOOKUP(A45,'Water Quality Score'!$A:$D,4,0)),"")</f>
        <v>Yes</v>
      </c>
      <c r="X45" s="37" t="str">
        <f>IFERROR(IF(VLOOKUP(A45,'Water Quality Score'!$A:$E,5,0)="","",VLOOKUP(A45,'Water Quality Score'!$A:$E,5,0)),"")</f>
        <v>Yes</v>
      </c>
      <c r="Y45" s="37">
        <f>IFERROR(IF(VLOOKUP(A45,'Water Quality Score'!$A:$F,6,0)="","",VLOOKUP(A45,'Water Quality Score'!$A:$F,6,0)),"")</f>
        <v>0.8</v>
      </c>
      <c r="Z45" s="37">
        <f>IFERROR(IF(VLOOKUP(A45,'Reliability score'!$A:$C,3,0)="","",VLOOKUP(A45,'Reliability score'!$A:$C,3,0)),"")</f>
        <v>3</v>
      </c>
      <c r="AA45" s="37">
        <f>IFERROR(IF(VLOOKUP(A45,'Reliability score'!$A:$D,4,0)="","",VLOOKUP(A45,'Reliability score'!$A:$D,4,0)),"")</f>
        <v>0.5</v>
      </c>
      <c r="AB45" s="37" t="str">
        <f>IFERROR(IF(VLOOKUP(A45,NRW!$A:$C,3,0)="","",VLOOKUP(A45,NRW!$A:$C,3,0)),"")</f>
        <v>Yes</v>
      </c>
      <c r="AC45" s="37" t="str">
        <f>IFERROR(IF(VLOOKUP(A45,NRW!$A:$D,4,0)="","",VLOOKUP(A45,NRW!$A:$D,4,0)),"")</f>
        <v>Yes</v>
      </c>
      <c r="AD45" s="37" t="str">
        <f>IFERROR(IF(VLOOKUP(A45,NRW!$A:$E,5,0)="","",VLOOKUP(A45,NRW!$A:$E,5,0)),"")</f>
        <v>No</v>
      </c>
      <c r="AE45" s="37" t="str">
        <f>IFERROR(IF(VLOOKUP(A45,NRW!$A:$F,6,0)="","",VLOOKUP(A45,NRW!$A:$F,6,0)),"")</f>
        <v>No</v>
      </c>
      <c r="AF45" s="37" t="str">
        <f>IFERROR(IF(VLOOKUP(A45,NRW!$A:$G,7,0)="","",VLOOKUP(A45,NRW!$A:$G,7,0)),"")</f>
        <v>No</v>
      </c>
      <c r="AG45" s="37">
        <f>IFERROR(IF(OR(VLOOKUP(A45,NRW!$A:$H,8,0)="",VLOOKUP(A45,NRW!$A:$H,8,0)=0),"",VLOOKUP(A45,NRW!$A:$H,8,0)),"")</f>
        <v>0.1</v>
      </c>
      <c r="AH45" s="37">
        <f>IFERROR(IF(VLOOKUP(A45,'O&amp;M score'!$A:$D,4,0)="","",VLOOKUP(A45,'O&amp;M score'!$A:$D,4,0)),"")</f>
        <v>795352</v>
      </c>
      <c r="AI45" s="37">
        <f>IFERROR(IF(VLOOKUP(A45,'O&amp;M score'!$A:$E,5,0)="","",VLOOKUP(A45,'O&amp;M score'!$A:$E,5,0)),"")</f>
        <v>943084</v>
      </c>
      <c r="AJ45" s="37">
        <f>IFERROR(IF(VLOOKUP(A45,'O&amp;M score'!$A:$F,6,0)="","",VLOOKUP(A45,'O&amp;M score'!$A:$F,6,0)),"")</f>
        <v>0.84335223585597885</v>
      </c>
      <c r="AK45" s="37">
        <f>IFERROR(IF(VLOOKUP(A45,'O&amp;M score'!$A:$G,7,0)="","",VLOOKUP(A45,'O&amp;M score'!$A:$G,7,0)),"")</f>
        <v>0.71329552828804221</v>
      </c>
      <c r="AL45" s="37">
        <f>IFERROR(IF(VLOOKUP(A45,'Metering Ratio Score'!$A:$C,3,0)="","",VLOOKUP(A45,'Metering Ratio Score'!$A:$C,3,0)),"")</f>
        <v>411</v>
      </c>
      <c r="AM45" s="37">
        <f>IFERROR(IF(VLOOKUP(A45,'Metering Ratio Score'!$A:$D,4,0)="","",VLOOKUP(A45,'Metering Ratio Score'!$A:$D,4,0)),"")</f>
        <v>411</v>
      </c>
      <c r="AN45" s="37">
        <f>IFERROR(IF(VLOOKUP(A45,'Metering Ratio Score'!$A:$E,5,0)="","",VLOOKUP(A45,'Metering Ratio Score'!$A:$E,5,0)),"")</f>
        <v>100</v>
      </c>
      <c r="AO45" s="37">
        <f>IFERROR(IF(VLOOKUP(A45,'Metering Ratio Score'!$A:$F,6,0)="","",VLOOKUP(A45,'Metering Ratio Score'!$A:$F,6,0)),"")</f>
        <v>1</v>
      </c>
      <c r="AP45" s="37" t="str">
        <f>IFERROR(IF(VLOOKUP(A45,'Grievance Addressal'!$A:$C,3,0)="","",VLOOKUP(A45,'Grievance Addressal'!$A:$C,3,0)),"")</f>
        <v>Yes</v>
      </c>
      <c r="AQ45" s="37" t="str">
        <f>IFERROR(IF(VLOOKUP(A45,'Grievance Addressal'!$A:$D,4,0)="","",VLOOKUP(A45,'Grievance Addressal'!$A:$D,4,0)),"")</f>
        <v>Yes</v>
      </c>
      <c r="AR45" s="37">
        <f>IFERROR(IF(VLOOKUP(A45,'Grievance Addressal'!$A:$E,5,0)="","",VLOOKUP(A45,'Grievance Addressal'!$A:$E,5,0)),"")</f>
        <v>1</v>
      </c>
      <c r="AS45" s="37" t="str">
        <f>IFERROR(IF(VLOOKUP(A45,Summary_Index!$A$5:$N$281,7,0)="","",VLOOKUP(A45,Summary_Index!$A$5:$N$281,7,0)),"")</f>
        <v/>
      </c>
      <c r="AT45" s="37">
        <f>IFERROR(IF(VLOOKUP(A45,Summary_Index!$A$5:$N$281,12,0)="","",VLOOKUP(A45,Summary_Index!$A$5:$N$281,12,0)),"")</f>
        <v>65.8</v>
      </c>
      <c r="AU45" s="37" t="str">
        <f>IFERROR(IF(VLOOKUP(A45,Summary_Index!$A$5:$N$281,13,0)="","",VLOOKUP(A45,Summary_Index!$A$5:$N$281,13,0)),"")</f>
        <v/>
      </c>
      <c r="AV45" s="37" t="str">
        <f>IFERROR(IF(VLOOKUP(A45,Summary_Index!$A$5:$N$281,14,0)="","",VLOOKUP(A45,Summary_Index!$A$5:$N$281,14,0)),"")</f>
        <v/>
      </c>
    </row>
    <row r="46" spans="1:48" ht="45.6" customHeight="1" x14ac:dyDescent="0.3">
      <c r="A46" s="37">
        <f>Spatial!A46</f>
        <v>45</v>
      </c>
      <c r="B46" s="37" t="str">
        <f>Spatial!B46</f>
        <v>Dukuchhap_WSUC</v>
      </c>
      <c r="C46" s="37" t="str">
        <f>Spatial!C46</f>
        <v>Bagmati</v>
      </c>
      <c r="D46" s="37" t="str">
        <f>Spatial!D46</f>
        <v xml:space="preserve">Lalitpur  </v>
      </c>
      <c r="E46" s="37" t="str">
        <f>Spatial!E46</f>
        <v>Municipality</v>
      </c>
      <c r="F46" s="37" t="str">
        <f>Spatial!F46</f>
        <v>Godawari</v>
      </c>
      <c r="G46" s="37">
        <f>IFERROR(Spatial!G46,"")</f>
        <v>1</v>
      </c>
      <c r="H46" s="37"/>
      <c r="I46" s="37"/>
      <c r="J46" s="37" t="str">
        <f t="shared" si="0"/>
        <v xml:space="preserve">Godawari_Lalitpur  </v>
      </c>
      <c r="K46" s="37" t="str">
        <f>IFERROR(IF(VLOOKUP(A46,'Service Coverage'!$A:$C,3,0)="","",VLOOKUP(A46,'Service Coverage'!$A:$C,3,0)),"")</f>
        <v>Yes</v>
      </c>
      <c r="L46" s="37">
        <f>IFERROR(IF(VLOOKUP(A46,'Service Coverage'!$A:$D,4,0)="","",VLOOKUP(A46,'Service Coverage'!$A:$D,4,0)),"")</f>
        <v>707</v>
      </c>
      <c r="M46" s="37">
        <f>IFERROR(IF(VLOOKUP(A46,'Service Coverage'!$A:$E,5,0)="","",VLOOKUP(A46,'Service Coverage'!$A:$E,5,0)),"")</f>
        <v>707</v>
      </c>
      <c r="N46" s="37">
        <f>IFERROR(IF(VLOOKUP(A46,'Service Coverage'!$A:$F,6,0)="","",VLOOKUP(A46,'Service Coverage'!$A:$F,6,0)),"")</f>
        <v>100</v>
      </c>
      <c r="O46" s="37">
        <f>IFERROR(IF(VLOOKUP(A46,'Service Coverage'!$A:$G,7,0)="","",VLOOKUP(A46,'Service Coverage'!$A:$G,7,0)),"")</f>
        <v>1</v>
      </c>
      <c r="P46" s="37" t="str">
        <f>IFERROR(IF(VLOOKUP(A46,Adequacy!$A:$C,3,0)="","",VLOOKUP(A46,Adequacy!$A:$C,3,0)),"")</f>
        <v>Pumped</v>
      </c>
      <c r="Q46" s="37" t="str">
        <f>IFERROR(IF(VLOOKUP(A46,Adequacy!$A:$D,4,0)="","",VLOOKUP(A46,Adequacy!$A:$D,4,0)),"")</f>
        <v/>
      </c>
      <c r="R46" s="37">
        <f>IFERROR(IF(VLOOKUP(A46,Adequacy!$A:$E,5,0)="","",VLOOKUP(A46,Adequacy!$A:$E,5,0)),"")</f>
        <v>3879</v>
      </c>
      <c r="S46" s="37" t="str">
        <f>IFERROR(IF(VLOOKUP(A46,Adequacy!$A:$G,7,0)="","",VLOOKUP(A46,Adequacy!$A:$G,7,0)),"")</f>
        <v/>
      </c>
      <c r="T46" s="37">
        <f>IFERROR(IF(VLOOKUP(A46,Adequacy!$A:$H,8,0)="","",VLOOKUP(A46,Adequacy!$A:$H,8,0)),"")</f>
        <v>100</v>
      </c>
      <c r="U46" s="37" t="str">
        <f>IFERROR(IF(VLOOKUP(A46,Adequacy!$A:$J,10,0)="","",VLOOKUP(A46,Adequacy!$A:$J,10,0)),"")</f>
        <v/>
      </c>
      <c r="V46" s="37" t="str">
        <f>IFERROR(IF(VLOOKUP(A46,'Water Quality Score'!$A:$C,3,0)="","",VLOOKUP(A46,'Water Quality Score'!$A:$C,3,0)),"")</f>
        <v>Yes</v>
      </c>
      <c r="W46" s="37" t="str">
        <f>IFERROR(IF(VLOOKUP(A46,'Water Quality Score'!$A:$D,4,0)="","",VLOOKUP(A46,'Water Quality Score'!$A:$D,4,0)),"")</f>
        <v>Yes</v>
      </c>
      <c r="X46" s="37" t="str">
        <f>IFERROR(IF(VLOOKUP(A46,'Water Quality Score'!$A:$E,5,0)="","",VLOOKUP(A46,'Water Quality Score'!$A:$E,5,0)),"")</f>
        <v>Yes</v>
      </c>
      <c r="Y46" s="37">
        <f>IFERROR(IF(VLOOKUP(A46,'Water Quality Score'!$A:$F,6,0)="","",VLOOKUP(A46,'Water Quality Score'!$A:$F,6,0)),"")</f>
        <v>1</v>
      </c>
      <c r="Z46" s="37">
        <f>IFERROR(IF(VLOOKUP(A46,'Reliability score'!$A:$C,3,0)="","",VLOOKUP(A46,'Reliability score'!$A:$C,3,0)),"")</f>
        <v>4</v>
      </c>
      <c r="AA46" s="37">
        <f>IFERROR(IF(VLOOKUP(A46,'Reliability score'!$A:$D,4,0)="","",VLOOKUP(A46,'Reliability score'!$A:$D,4,0)),"")</f>
        <v>0.52380952380952384</v>
      </c>
      <c r="AB46" s="37" t="str">
        <f>IFERROR(IF(VLOOKUP(A46,NRW!$A:$C,3,0)="","",VLOOKUP(A46,NRW!$A:$C,3,0)),"")</f>
        <v>Yes</v>
      </c>
      <c r="AC46" s="37" t="str">
        <f>IFERROR(IF(VLOOKUP(A46,NRW!$A:$D,4,0)="","",VLOOKUP(A46,NRW!$A:$D,4,0)),"")</f>
        <v>Yes</v>
      </c>
      <c r="AD46" s="37" t="str">
        <f>IFERROR(IF(VLOOKUP(A46,NRW!$A:$E,5,0)="","",VLOOKUP(A46,NRW!$A:$E,5,0)),"")</f>
        <v>Yes</v>
      </c>
      <c r="AE46" s="37" t="str">
        <f>IFERROR(IF(VLOOKUP(A46,NRW!$A:$F,6,0)="","",VLOOKUP(A46,NRW!$A:$F,6,0)),"")</f>
        <v>Yes</v>
      </c>
      <c r="AF46" s="37" t="str">
        <f>IFERROR(IF(VLOOKUP(A46,NRW!$A:$G,7,0)="","",VLOOKUP(A46,NRW!$A:$G,7,0)),"")</f>
        <v>Yes</v>
      </c>
      <c r="AG46" s="37">
        <f>IFERROR(IF(OR(VLOOKUP(A46,NRW!$A:$H,8,0)="",VLOOKUP(A46,NRW!$A:$H,8,0)=0),"",VLOOKUP(A46,NRW!$A:$H,8,0)),"")</f>
        <v>1</v>
      </c>
      <c r="AH46" s="37">
        <f>IFERROR(IF(VLOOKUP(A46,'O&amp;M score'!$A:$D,4,0)="","",VLOOKUP(A46,'O&amp;M score'!$A:$D,4,0)),"")</f>
        <v>1770000</v>
      </c>
      <c r="AI46" s="37">
        <f>IFERROR(IF(VLOOKUP(A46,'O&amp;M score'!$A:$E,5,0)="","",VLOOKUP(A46,'O&amp;M score'!$A:$E,5,0)),"")</f>
        <v>1920000</v>
      </c>
      <c r="AJ46" s="37">
        <f>IFERROR(IF(VLOOKUP(A46,'O&amp;M score'!$A:$F,6,0)="","",VLOOKUP(A46,'O&amp;M score'!$A:$F,6,0)),"")</f>
        <v>0.921875</v>
      </c>
      <c r="AK46" s="37">
        <f>IFERROR(IF(VLOOKUP(A46,'O&amp;M score'!$A:$G,7,0)="","",VLOOKUP(A46,'O&amp;M score'!$A:$G,7,0)),"")</f>
        <v>0</v>
      </c>
      <c r="AL46" s="37">
        <f>IFERROR(IF(VLOOKUP(A46,'Metering Ratio Score'!$A:$C,3,0)="","",VLOOKUP(A46,'Metering Ratio Score'!$A:$C,3,0)),"")</f>
        <v>720</v>
      </c>
      <c r="AM46" s="37">
        <f>IFERROR(IF(VLOOKUP(A46,'Metering Ratio Score'!$A:$D,4,0)="","",VLOOKUP(A46,'Metering Ratio Score'!$A:$D,4,0)),"")</f>
        <v>720</v>
      </c>
      <c r="AN46" s="37">
        <f>IFERROR(IF(VLOOKUP(A46,'Metering Ratio Score'!$A:$E,5,0)="","",VLOOKUP(A46,'Metering Ratio Score'!$A:$E,5,0)),"")</f>
        <v>100</v>
      </c>
      <c r="AO46" s="37">
        <f>IFERROR(IF(VLOOKUP(A46,'Metering Ratio Score'!$A:$F,6,0)="","",VLOOKUP(A46,'Metering Ratio Score'!$A:$F,6,0)),"")</f>
        <v>1</v>
      </c>
      <c r="AP46" s="37" t="str">
        <f>IFERROR(IF(VLOOKUP(A46,'Grievance Addressal'!$A:$C,3,0)="","",VLOOKUP(A46,'Grievance Addressal'!$A:$C,3,0)),"")</f>
        <v>Yes</v>
      </c>
      <c r="AQ46" s="37" t="str">
        <f>IFERROR(IF(VLOOKUP(A46,'Grievance Addressal'!$A:$D,4,0)="","",VLOOKUP(A46,'Grievance Addressal'!$A:$D,4,0)),"")</f>
        <v>Yes</v>
      </c>
      <c r="AR46" s="37">
        <f>IFERROR(IF(VLOOKUP(A46,'Grievance Addressal'!$A:$E,5,0)="","",VLOOKUP(A46,'Grievance Addressal'!$A:$E,5,0)),"")</f>
        <v>1</v>
      </c>
      <c r="AS46" s="37" t="str">
        <f>IFERROR(IF(VLOOKUP(A46,Summary_Index!$A$5:$N$281,7,0)="","",VLOOKUP(A46,Summary_Index!$A$5:$N$281,7,0)),"")</f>
        <v/>
      </c>
      <c r="AT46" s="37">
        <f>IFERROR(IF(VLOOKUP(A46,Summary_Index!$A$5:$N$281,12,0)="","",VLOOKUP(A46,Summary_Index!$A$5:$N$281,12,0)),"")</f>
        <v>75</v>
      </c>
      <c r="AU46" s="37" t="str">
        <f>IFERROR(IF(VLOOKUP(A46,Summary_Index!$A$5:$N$281,13,0)="","",VLOOKUP(A46,Summary_Index!$A$5:$N$281,13,0)),"")</f>
        <v/>
      </c>
      <c r="AV46" s="37" t="str">
        <f>IFERROR(IF(VLOOKUP(A46,Summary_Index!$A$5:$N$281,14,0)="","",VLOOKUP(A46,Summary_Index!$A$5:$N$281,14,0)),"")</f>
        <v/>
      </c>
    </row>
    <row r="47" spans="1:48" ht="45.6" customHeight="1" x14ac:dyDescent="0.3">
      <c r="A47" s="37">
        <f>Spatial!A47</f>
        <v>46</v>
      </c>
      <c r="B47" s="37" t="str">
        <f>Spatial!B47</f>
        <v>Kalitar_WSUC</v>
      </c>
      <c r="C47" s="37" t="str">
        <f>Spatial!C47</f>
        <v>Bagmati</v>
      </c>
      <c r="D47" s="37" t="str">
        <f>Spatial!D47</f>
        <v>Lalitpur</v>
      </c>
      <c r="E47" s="37" t="str">
        <f>Spatial!E47</f>
        <v>Municipality</v>
      </c>
      <c r="F47" s="37" t="str">
        <f>Spatial!F47</f>
        <v>Godawari</v>
      </c>
      <c r="G47" s="37">
        <f>IFERROR(Spatial!G47,"")</f>
        <v>6</v>
      </c>
      <c r="H47" s="37"/>
      <c r="I47" s="37"/>
      <c r="J47" s="37" t="str">
        <f t="shared" si="0"/>
        <v>Godawari_Lalitpur</v>
      </c>
      <c r="K47" s="37" t="str">
        <f>IFERROR(IF(VLOOKUP(A47,'Service Coverage'!$A:$C,3,0)="","",VLOOKUP(A47,'Service Coverage'!$A:$C,3,0)),"")</f>
        <v>Yes</v>
      </c>
      <c r="L47" s="37">
        <f>IFERROR(IF(VLOOKUP(A47,'Service Coverage'!$A:$D,4,0)="","",VLOOKUP(A47,'Service Coverage'!$A:$D,4,0)),"")</f>
        <v>123</v>
      </c>
      <c r="M47" s="37">
        <f>IFERROR(IF(VLOOKUP(A47,'Service Coverage'!$A:$E,5,0)="","",VLOOKUP(A47,'Service Coverage'!$A:$E,5,0)),"")</f>
        <v>123</v>
      </c>
      <c r="N47" s="37">
        <f>IFERROR(IF(VLOOKUP(A47,'Service Coverage'!$A:$F,6,0)="","",VLOOKUP(A47,'Service Coverage'!$A:$F,6,0)),"")</f>
        <v>100</v>
      </c>
      <c r="O47" s="37">
        <f>IFERROR(IF(VLOOKUP(A47,'Service Coverage'!$A:$G,7,0)="","",VLOOKUP(A47,'Service Coverage'!$A:$G,7,0)),"")</f>
        <v>1</v>
      </c>
      <c r="P47" s="37" t="str">
        <f>IFERROR(IF(VLOOKUP(A47,Adequacy!$A:$C,3,0)="","",VLOOKUP(A47,Adequacy!$A:$C,3,0)),"")</f>
        <v/>
      </c>
      <c r="Q47" s="37" t="str">
        <f>IFERROR(IF(VLOOKUP(A47,Adequacy!$A:$D,4,0)="","",VLOOKUP(A47,Adequacy!$A:$D,4,0)),"")</f>
        <v/>
      </c>
      <c r="R47" s="37">
        <f>IFERROR(IF(VLOOKUP(A47,Adequacy!$A:$E,5,0)="","",VLOOKUP(A47,Adequacy!$A:$E,5,0)),"")</f>
        <v>559</v>
      </c>
      <c r="S47" s="37" t="str">
        <f>IFERROR(IF(VLOOKUP(A47,Adequacy!$A:$G,7,0)="","",VLOOKUP(A47,Adequacy!$A:$G,7,0)),"")</f>
        <v/>
      </c>
      <c r="T47" s="37" t="str">
        <f>IFERROR(IF(VLOOKUP(A47,Adequacy!$A:$H,8,0)="","",VLOOKUP(A47,Adequacy!$A:$H,8,0)),"")</f>
        <v xml:space="preserve"> </v>
      </c>
      <c r="U47" s="37" t="str">
        <f>IFERROR(IF(VLOOKUP(A47,Adequacy!$A:$J,10,0)="","",VLOOKUP(A47,Adequacy!$A:$J,10,0)),"")</f>
        <v/>
      </c>
      <c r="V47" s="37" t="str">
        <f>IFERROR(IF(VLOOKUP(A47,'Water Quality Score'!$A:$C,3,0)="","",VLOOKUP(A47,'Water Quality Score'!$A:$C,3,0)),"")</f>
        <v>Yes</v>
      </c>
      <c r="W47" s="37" t="str">
        <f>IFERROR(IF(VLOOKUP(A47,'Water Quality Score'!$A:$D,4,0)="","",VLOOKUP(A47,'Water Quality Score'!$A:$D,4,0)),"")</f>
        <v>Yes</v>
      </c>
      <c r="X47" s="37" t="str">
        <f>IFERROR(IF(VLOOKUP(A47,'Water Quality Score'!$A:$E,5,0)="","",VLOOKUP(A47,'Water Quality Score'!$A:$E,5,0)),"")</f>
        <v>Yes</v>
      </c>
      <c r="Y47" s="37">
        <f>IFERROR(IF(VLOOKUP(A47,'Water Quality Score'!$A:$F,6,0)="","",VLOOKUP(A47,'Water Quality Score'!$A:$F,6,0)),"")</f>
        <v>1</v>
      </c>
      <c r="Z47" s="37">
        <f>IFERROR(IF(VLOOKUP(A47,'Reliability score'!$A:$C,3,0)="","",VLOOKUP(A47,'Reliability score'!$A:$C,3,0)),"")</f>
        <v>4</v>
      </c>
      <c r="AA47" s="37">
        <f>IFERROR(IF(VLOOKUP(A47,'Reliability score'!$A:$D,4,0)="","",VLOOKUP(A47,'Reliability score'!$A:$D,4,0)),"")</f>
        <v>0.52380952380952384</v>
      </c>
      <c r="AB47" s="37" t="str">
        <f>IFERROR(IF(VLOOKUP(A47,NRW!$A:$C,3,0)="","",VLOOKUP(A47,NRW!$A:$C,3,0)),"")</f>
        <v>No</v>
      </c>
      <c r="AC47" s="37" t="str">
        <f>IFERROR(IF(VLOOKUP(A47,NRW!$A:$D,4,0)="","",VLOOKUP(A47,NRW!$A:$D,4,0)),"")</f>
        <v>No</v>
      </c>
      <c r="AD47" s="37" t="str">
        <f>IFERROR(IF(VLOOKUP(A47,NRW!$A:$E,5,0)="","",VLOOKUP(A47,NRW!$A:$E,5,0)),"")</f>
        <v>Yes</v>
      </c>
      <c r="AE47" s="37" t="str">
        <f>IFERROR(IF(VLOOKUP(A47,NRW!$A:$F,6,0)="","",VLOOKUP(A47,NRW!$A:$F,6,0)),"")</f>
        <v>Yes</v>
      </c>
      <c r="AF47" s="37" t="str">
        <f>IFERROR(IF(VLOOKUP(A47,NRW!$A:$G,7,0)="","",VLOOKUP(A47,NRW!$A:$G,7,0)),"")</f>
        <v>No</v>
      </c>
      <c r="AG47" s="37" t="str">
        <f>IFERROR(IF(OR(VLOOKUP(A47,NRW!$A:$H,8,0)="",VLOOKUP(A47,NRW!$A:$H,8,0)=0),"",VLOOKUP(A47,NRW!$A:$H,8,0)),"")</f>
        <v/>
      </c>
      <c r="AH47" s="37">
        <f>IFERROR(IF(VLOOKUP(A47,'O&amp;M score'!$A:$D,4,0)="","",VLOOKUP(A47,'O&amp;M score'!$A:$D,4,0)),"")</f>
        <v>100000</v>
      </c>
      <c r="AI47" s="37">
        <f>IFERROR(IF(VLOOKUP(A47,'O&amp;M score'!$A:$E,5,0)="","",VLOOKUP(A47,'O&amp;M score'!$A:$E,5,0)),"")</f>
        <v>200000</v>
      </c>
      <c r="AJ47" s="37">
        <f>IFERROR(IF(VLOOKUP(A47,'O&amp;M score'!$A:$F,6,0)="","",VLOOKUP(A47,'O&amp;M score'!$A:$F,6,0)),"")</f>
        <v>0.5</v>
      </c>
      <c r="AK47" s="37">
        <f>IFERROR(IF(VLOOKUP(A47,'O&amp;M score'!$A:$G,7,0)="","",VLOOKUP(A47,'O&amp;M score'!$A:$G,7,0)),"")</f>
        <v>1</v>
      </c>
      <c r="AL47" s="37">
        <f>IFERROR(IF(VLOOKUP(A47,'Metering Ratio Score'!$A:$C,3,0)="","",VLOOKUP(A47,'Metering Ratio Score'!$A:$C,3,0)),"")</f>
        <v>151</v>
      </c>
      <c r="AM47" s="37">
        <f>IFERROR(IF(VLOOKUP(A47,'Metering Ratio Score'!$A:$D,4,0)="","",VLOOKUP(A47,'Metering Ratio Score'!$A:$D,4,0)),"")</f>
        <v>151</v>
      </c>
      <c r="AN47" s="37">
        <f>IFERROR(IF(VLOOKUP(A47,'Metering Ratio Score'!$A:$E,5,0)="","",VLOOKUP(A47,'Metering Ratio Score'!$A:$E,5,0)),"")</f>
        <v>100</v>
      </c>
      <c r="AO47" s="37">
        <f>IFERROR(IF(VLOOKUP(A47,'Metering Ratio Score'!$A:$F,6,0)="","",VLOOKUP(A47,'Metering Ratio Score'!$A:$F,6,0)),"")</f>
        <v>1</v>
      </c>
      <c r="AP47" s="37" t="str">
        <f>IFERROR(IF(VLOOKUP(A47,'Grievance Addressal'!$A:$C,3,0)="","",VLOOKUP(A47,'Grievance Addressal'!$A:$C,3,0)),"")</f>
        <v>Yes</v>
      </c>
      <c r="AQ47" s="37" t="str">
        <f>IFERROR(IF(VLOOKUP(A47,'Grievance Addressal'!$A:$D,4,0)="","",VLOOKUP(A47,'Grievance Addressal'!$A:$D,4,0)),"")</f>
        <v>Yes</v>
      </c>
      <c r="AR47" s="37">
        <f>IFERROR(IF(VLOOKUP(A47,'Grievance Addressal'!$A:$E,5,0)="","",VLOOKUP(A47,'Grievance Addressal'!$A:$E,5,0)),"")</f>
        <v>1</v>
      </c>
      <c r="AS47" s="37" t="str">
        <f>IFERROR(IF(VLOOKUP(A47,Summary_Index!$A$5:$N$281,7,0)="","",VLOOKUP(A47,Summary_Index!$A$5:$N$281,7,0)),"")</f>
        <v/>
      </c>
      <c r="AT47" s="37">
        <f>IFERROR(IF(VLOOKUP(A47,Summary_Index!$A$5:$N$281,12,0)="","",VLOOKUP(A47,Summary_Index!$A$5:$N$281,12,0)),"")</f>
        <v>70</v>
      </c>
      <c r="AU47" s="37" t="str">
        <f>IFERROR(IF(VLOOKUP(A47,Summary_Index!$A$5:$N$281,13,0)="","",VLOOKUP(A47,Summary_Index!$A$5:$N$281,13,0)),"")</f>
        <v/>
      </c>
      <c r="AV47" s="37" t="str">
        <f>IFERROR(IF(VLOOKUP(A47,Summary_Index!$A$5:$N$281,14,0)="","",VLOOKUP(A47,Summary_Index!$A$5:$N$281,14,0)),"")</f>
        <v/>
      </c>
    </row>
    <row r="48" spans="1:48" ht="45.6" customHeight="1" x14ac:dyDescent="0.3">
      <c r="A48" s="37">
        <f>Spatial!A48</f>
        <v>47</v>
      </c>
      <c r="B48" s="37" t="str">
        <f>Spatial!B48</f>
        <v>Jaubari Gahu Bari _WSUC</v>
      </c>
      <c r="C48" s="37" t="str">
        <f>Spatial!C48</f>
        <v>Bagmati</v>
      </c>
      <c r="D48" s="37" t="str">
        <f>Spatial!D48</f>
        <v>Lalitput</v>
      </c>
      <c r="E48" s="37" t="str">
        <f>Spatial!E48</f>
        <v>Municipality</v>
      </c>
      <c r="F48" s="37" t="str">
        <f>Spatial!F48</f>
        <v>Godawari</v>
      </c>
      <c r="G48" s="37">
        <f>IFERROR(Spatial!G48,"")</f>
        <v>7</v>
      </c>
      <c r="H48" s="37"/>
      <c r="I48" s="37"/>
      <c r="J48" s="37" t="str">
        <f t="shared" si="0"/>
        <v>Godawari_Lalitput</v>
      </c>
      <c r="K48" s="37" t="str">
        <f>IFERROR(IF(VLOOKUP(A48,'Service Coverage'!$A:$C,3,0)="","",VLOOKUP(A48,'Service Coverage'!$A:$C,3,0)),"")</f>
        <v>No</v>
      </c>
      <c r="L48" s="37">
        <f>IFERROR(IF(VLOOKUP(A48,'Service Coverage'!$A:$D,4,0)="","",VLOOKUP(A48,'Service Coverage'!$A:$D,4,0)),"")</f>
        <v>77</v>
      </c>
      <c r="M48" s="37">
        <f>IFERROR(IF(VLOOKUP(A48,'Service Coverage'!$A:$E,5,0)="","",VLOOKUP(A48,'Service Coverage'!$A:$E,5,0)),"")</f>
        <v>77</v>
      </c>
      <c r="N48" s="37">
        <f>IFERROR(IF(VLOOKUP(A48,'Service Coverage'!$A:$F,6,0)="","",VLOOKUP(A48,'Service Coverage'!$A:$F,6,0)),"")</f>
        <v>100</v>
      </c>
      <c r="O48" s="37">
        <f>IFERROR(IF(VLOOKUP(A48,'Service Coverage'!$A:$G,7,0)="","",VLOOKUP(A48,'Service Coverage'!$A:$G,7,0)),"")</f>
        <v>1</v>
      </c>
      <c r="P48" s="37" t="str">
        <f>IFERROR(IF(VLOOKUP(A48,Adequacy!$A:$C,3,0)="","",VLOOKUP(A48,Adequacy!$A:$C,3,0)),"")</f>
        <v/>
      </c>
      <c r="Q48" s="37" t="str">
        <f>IFERROR(IF(VLOOKUP(A48,Adequacy!$A:$D,4,0)="","",VLOOKUP(A48,Adequacy!$A:$D,4,0)),"")</f>
        <v/>
      </c>
      <c r="R48" s="37">
        <f>IFERROR(IF(VLOOKUP(A48,Adequacy!$A:$E,5,0)="","",VLOOKUP(A48,Adequacy!$A:$E,5,0)),"")</f>
        <v>559</v>
      </c>
      <c r="S48" s="37" t="str">
        <f>IFERROR(IF(VLOOKUP(A48,Adequacy!$A:$G,7,0)="","",VLOOKUP(A48,Adequacy!$A:$G,7,0)),"")</f>
        <v/>
      </c>
      <c r="T48" s="37" t="str">
        <f>IFERROR(IF(VLOOKUP(A48,Adequacy!$A:$H,8,0)="","",VLOOKUP(A48,Adequacy!$A:$H,8,0)),"")</f>
        <v xml:space="preserve"> </v>
      </c>
      <c r="U48" s="37" t="str">
        <f>IFERROR(IF(VLOOKUP(A48,Adequacy!$A:$J,10,0)="","",VLOOKUP(A48,Adequacy!$A:$J,10,0)),"")</f>
        <v/>
      </c>
      <c r="V48" s="37" t="str">
        <f>IFERROR(IF(VLOOKUP(A48,'Water Quality Score'!$A:$C,3,0)="","",VLOOKUP(A48,'Water Quality Score'!$A:$C,3,0)),"")</f>
        <v>Yes</v>
      </c>
      <c r="W48" s="37" t="str">
        <f>IFERROR(IF(VLOOKUP(A48,'Water Quality Score'!$A:$D,4,0)="","",VLOOKUP(A48,'Water Quality Score'!$A:$D,4,0)),"")</f>
        <v>Yes</v>
      </c>
      <c r="X48" s="37" t="str">
        <f>IFERROR(IF(VLOOKUP(A48,'Water Quality Score'!$A:$E,5,0)="","",VLOOKUP(A48,'Water Quality Score'!$A:$E,5,0)),"")</f>
        <v>Yes</v>
      </c>
      <c r="Y48" s="37">
        <f>IFERROR(IF(VLOOKUP(A48,'Water Quality Score'!$A:$F,6,0)="","",VLOOKUP(A48,'Water Quality Score'!$A:$F,6,0)),"")</f>
        <v>1</v>
      </c>
      <c r="Z48" s="37">
        <f>IFERROR(IF(VLOOKUP(A48,'Reliability score'!$A:$C,3,0)="","",VLOOKUP(A48,'Reliability score'!$A:$C,3,0)),"")</f>
        <v>24</v>
      </c>
      <c r="AA48" s="37">
        <f>IFERROR(IF(VLOOKUP(A48,'Reliability score'!$A:$D,4,0)="","",VLOOKUP(A48,'Reliability score'!$A:$D,4,0)),"")</f>
        <v>1</v>
      </c>
      <c r="AB48" s="37" t="str">
        <f>IFERROR(IF(VLOOKUP(A48,NRW!$A:$C,3,0)="","",VLOOKUP(A48,NRW!$A:$C,3,0)),"")</f>
        <v>Yes</v>
      </c>
      <c r="AC48" s="37" t="str">
        <f>IFERROR(IF(VLOOKUP(A48,NRW!$A:$D,4,0)="","",VLOOKUP(A48,NRW!$A:$D,4,0)),"")</f>
        <v>No</v>
      </c>
      <c r="AD48" s="37" t="str">
        <f>IFERROR(IF(VLOOKUP(A48,NRW!$A:$E,5,0)="","",VLOOKUP(A48,NRW!$A:$E,5,0)),"")</f>
        <v>No</v>
      </c>
      <c r="AE48" s="37" t="str">
        <f>IFERROR(IF(VLOOKUP(A48,NRW!$A:$F,6,0)="","",VLOOKUP(A48,NRW!$A:$F,6,0)),"")</f>
        <v>Yes</v>
      </c>
      <c r="AF48" s="37" t="str">
        <f>IFERROR(IF(VLOOKUP(A48,NRW!$A:$G,7,0)="","",VLOOKUP(A48,NRW!$A:$G,7,0)),"")</f>
        <v>Yes</v>
      </c>
      <c r="AG48" s="37">
        <f>IFERROR(IF(OR(VLOOKUP(A48,NRW!$A:$H,8,0)="",VLOOKUP(A48,NRW!$A:$H,8,0)=0),"",VLOOKUP(A48,NRW!$A:$H,8,0)),"")</f>
        <v>0.8</v>
      </c>
      <c r="AH48" s="37">
        <f>IFERROR(IF(VLOOKUP(A48,'O&amp;M score'!$A:$D,4,0)="","",VLOOKUP(A48,'O&amp;M score'!$A:$D,4,0)),"")</f>
        <v>92400</v>
      </c>
      <c r="AI48" s="37">
        <f>IFERROR(IF(VLOOKUP(A48,'O&amp;M score'!$A:$E,5,0)="","",VLOOKUP(A48,'O&amp;M score'!$A:$E,5,0)),"")</f>
        <v>60000</v>
      </c>
      <c r="AJ48" s="37">
        <f>IFERROR(IF(VLOOKUP(A48,'O&amp;M score'!$A:$F,6,0)="","",VLOOKUP(A48,'O&amp;M score'!$A:$F,6,0)),"")</f>
        <v>1.54</v>
      </c>
      <c r="AK48" s="37">
        <f>IFERROR(IF(VLOOKUP(A48,'O&amp;M score'!$A:$G,7,0)="","",VLOOKUP(A48,'O&amp;M score'!$A:$G,7,0)),"")</f>
        <v>0</v>
      </c>
      <c r="AL48" s="37">
        <f>IFERROR(IF(VLOOKUP(A48,'Metering Ratio Score'!$A:$C,3,0)="","",VLOOKUP(A48,'Metering Ratio Score'!$A:$C,3,0)),"")</f>
        <v>77</v>
      </c>
      <c r="AM48" s="37">
        <f>IFERROR(IF(VLOOKUP(A48,'Metering Ratio Score'!$A:$D,4,0)="","",VLOOKUP(A48,'Metering Ratio Score'!$A:$D,4,0)),"")</f>
        <v>77</v>
      </c>
      <c r="AN48" s="37">
        <f>IFERROR(IF(VLOOKUP(A48,'Metering Ratio Score'!$A:$E,5,0)="","",VLOOKUP(A48,'Metering Ratio Score'!$A:$E,5,0)),"")</f>
        <v>100</v>
      </c>
      <c r="AO48" s="37">
        <f>IFERROR(IF(VLOOKUP(A48,'Metering Ratio Score'!$A:$F,6,0)="","",VLOOKUP(A48,'Metering Ratio Score'!$A:$F,6,0)),"")</f>
        <v>1</v>
      </c>
      <c r="AP48" s="37" t="str">
        <f>IFERROR(IF(VLOOKUP(A48,'Grievance Addressal'!$A:$C,3,0)="","",VLOOKUP(A48,'Grievance Addressal'!$A:$C,3,0)),"")</f>
        <v>No</v>
      </c>
      <c r="AQ48" s="37" t="str">
        <f>IFERROR(IF(VLOOKUP(A48,'Grievance Addressal'!$A:$D,4,0)="","",VLOOKUP(A48,'Grievance Addressal'!$A:$D,4,0)),"")</f>
        <v>Yes</v>
      </c>
      <c r="AR48" s="37">
        <f>IFERROR(IF(VLOOKUP(A48,'Grievance Addressal'!$A:$E,5,0)="","",VLOOKUP(A48,'Grievance Addressal'!$A:$E,5,0)),"")</f>
        <v>0</v>
      </c>
      <c r="AS48" s="37" t="str">
        <f>IFERROR(IF(VLOOKUP(A48,Summary_Index!$A$5:$N$281,7,0)="","",VLOOKUP(A48,Summary_Index!$A$5:$N$281,7,0)),"")</f>
        <v/>
      </c>
      <c r="AT48" s="37">
        <f>IFERROR(IF(VLOOKUP(A48,Summary_Index!$A$5:$N$281,12,0)="","",VLOOKUP(A48,Summary_Index!$A$5:$N$281,12,0)),"")</f>
        <v>44</v>
      </c>
      <c r="AU48" s="37" t="str">
        <f>IFERROR(IF(VLOOKUP(A48,Summary_Index!$A$5:$N$281,13,0)="","",VLOOKUP(A48,Summary_Index!$A$5:$N$281,13,0)),"")</f>
        <v/>
      </c>
      <c r="AV48" s="37" t="str">
        <f>IFERROR(IF(VLOOKUP(A48,Summary_Index!$A$5:$N$281,14,0)="","",VLOOKUP(A48,Summary_Index!$A$5:$N$281,14,0)),"")</f>
        <v/>
      </c>
    </row>
    <row r="49" spans="1:48" ht="45.6" customHeight="1" x14ac:dyDescent="0.3">
      <c r="A49" s="37">
        <f>Spatial!A49</f>
        <v>48</v>
      </c>
      <c r="B49" s="37" t="str">
        <f>Spatial!B49</f>
        <v>Lekhnath_WSUC</v>
      </c>
      <c r="C49" s="37" t="str">
        <f>Spatial!C49</f>
        <v>Gandaki</v>
      </c>
      <c r="D49" s="37" t="str">
        <f>Spatial!D49</f>
        <v>Kaski District</v>
      </c>
      <c r="E49" s="37" t="str">
        <f>Spatial!E49</f>
        <v>Metropolitan</v>
      </c>
      <c r="F49" s="37" t="str">
        <f>Spatial!F49</f>
        <v>Pokhara</v>
      </c>
      <c r="G49" s="37" t="str">
        <f>IFERROR(Spatial!G49,"")</f>
        <v>26,27,28,29,30,31,32</v>
      </c>
      <c r="H49" s="37"/>
      <c r="I49" s="37"/>
      <c r="J49" s="37" t="str">
        <f t="shared" si="0"/>
        <v>Pokhara_Kaski District</v>
      </c>
      <c r="K49" s="37" t="str">
        <f>IFERROR(IF(VLOOKUP(A49,'Service Coverage'!$A:$C,3,0)="","",VLOOKUP(A49,'Service Coverage'!$A:$C,3,0)),"")</f>
        <v>No</v>
      </c>
      <c r="L49" s="37">
        <f>IFERROR(IF(VLOOKUP(A49,'Service Coverage'!$A:$D,4,0)="","",VLOOKUP(A49,'Service Coverage'!$A:$D,4,0)),"")</f>
        <v>17589</v>
      </c>
      <c r="M49" s="37">
        <f>IFERROR(IF(VLOOKUP(A49,'Service Coverage'!$A:$E,5,0)="","",VLOOKUP(A49,'Service Coverage'!$A:$E,5,0)),"")</f>
        <v>23049</v>
      </c>
      <c r="N49" s="37">
        <f>IFERROR(IF(VLOOKUP(A49,'Service Coverage'!$A:$F,6,0)="","",VLOOKUP(A49,'Service Coverage'!$A:$F,6,0)),"")</f>
        <v>76.311336717428091</v>
      </c>
      <c r="O49" s="37">
        <f>IFERROR(IF(VLOOKUP(A49,'Service Coverage'!$A:$G,7,0)="","",VLOOKUP(A49,'Service Coverage'!$A:$G,7,0)),"")</f>
        <v>0.40778341793570227</v>
      </c>
      <c r="P49" s="37" t="str">
        <f>IFERROR(IF(VLOOKUP(A49,Adequacy!$A:$C,3,0)="","",VLOOKUP(A49,Adequacy!$A:$C,3,0)),"")</f>
        <v>Pumped</v>
      </c>
      <c r="Q49" s="37">
        <f>IFERROR(IF(VLOOKUP(A49,Adequacy!$A:$D,4,0)="","",VLOOKUP(A49,Adequacy!$A:$D,4,0)),"")</f>
        <v>12040</v>
      </c>
      <c r="R49" s="37">
        <f>IFERROR(IF(VLOOKUP(A49,Adequacy!$A:$E,5,0)="","",VLOOKUP(A49,Adequacy!$A:$E,5,0)),"")</f>
        <v>120000</v>
      </c>
      <c r="S49" s="37">
        <f>IFERROR(IF(VLOOKUP(A49,Adequacy!$A:$G,7,0)="","",VLOOKUP(A49,Adequacy!$A:$G,7,0)),"")</f>
        <v>3.3444444444444446</v>
      </c>
      <c r="T49" s="37">
        <f>IFERROR(IF(VLOOKUP(A49,Adequacy!$A:$H,8,0)="","",VLOOKUP(A49,Adequacy!$A:$H,8,0)),"")</f>
        <v>100</v>
      </c>
      <c r="U49" s="37">
        <f>IFERROR(IF(VLOOKUP(A49,Adequacy!$A:$J,10,0)="","",VLOOKUP(A49,Adequacy!$A:$J,10,0)),"")</f>
        <v>0</v>
      </c>
      <c r="V49" s="37" t="str">
        <f>IFERROR(IF(VLOOKUP(A49,'Water Quality Score'!$A:$C,3,0)="","",VLOOKUP(A49,'Water Quality Score'!$A:$C,3,0)),"")</f>
        <v>Yes</v>
      </c>
      <c r="W49" s="37" t="str">
        <f>IFERROR(IF(VLOOKUP(A49,'Water Quality Score'!$A:$D,4,0)="","",VLOOKUP(A49,'Water Quality Score'!$A:$D,4,0)),"")</f>
        <v>Yes</v>
      </c>
      <c r="X49" s="37" t="str">
        <f>IFERROR(IF(VLOOKUP(A49,'Water Quality Score'!$A:$E,5,0)="","",VLOOKUP(A49,'Water Quality Score'!$A:$E,5,0)),"")</f>
        <v>Yes</v>
      </c>
      <c r="Y49" s="37">
        <f>IFERROR(IF(VLOOKUP(A49,'Water Quality Score'!$A:$F,6,0)="","",VLOOKUP(A49,'Water Quality Score'!$A:$F,6,0)),"")</f>
        <v>1</v>
      </c>
      <c r="Z49" s="37">
        <f>IFERROR(IF(VLOOKUP(A49,'Reliability score'!$A:$C,3,0)="","",VLOOKUP(A49,'Reliability score'!$A:$C,3,0)),"")</f>
        <v>14</v>
      </c>
      <c r="AA49" s="37">
        <f>IFERROR(IF(VLOOKUP(A49,'Reliability score'!$A:$D,4,0)="","",VLOOKUP(A49,'Reliability score'!$A:$D,4,0)),"")</f>
        <v>0.76190476190476186</v>
      </c>
      <c r="AB49" s="37" t="str">
        <f>IFERROR(IF(VLOOKUP(A49,NRW!$A:$C,3,0)="","",VLOOKUP(A49,NRW!$A:$C,3,0)),"")</f>
        <v>No</v>
      </c>
      <c r="AC49" s="37" t="str">
        <f>IFERROR(IF(VLOOKUP(A49,NRW!$A:$D,4,0)="","",VLOOKUP(A49,NRW!$A:$D,4,0)),"")</f>
        <v>Yes</v>
      </c>
      <c r="AD49" s="37" t="str">
        <f>IFERROR(IF(VLOOKUP(A49,NRW!$A:$E,5,0)="","",VLOOKUP(A49,NRW!$A:$E,5,0)),"")</f>
        <v>Yes</v>
      </c>
      <c r="AE49" s="37" t="str">
        <f>IFERROR(IF(VLOOKUP(A49,NRW!$A:$F,6,0)="","",VLOOKUP(A49,NRW!$A:$F,6,0)),"")</f>
        <v>No</v>
      </c>
      <c r="AF49" s="37" t="str">
        <f>IFERROR(IF(VLOOKUP(A49,NRW!$A:$G,7,0)="","",VLOOKUP(A49,NRW!$A:$G,7,0)),"")</f>
        <v>No</v>
      </c>
      <c r="AG49" s="37" t="str">
        <f>IFERROR(IF(OR(VLOOKUP(A49,NRW!$A:$H,8,0)="",VLOOKUP(A49,NRW!$A:$H,8,0)=0),"",VLOOKUP(A49,NRW!$A:$H,8,0)),"")</f>
        <v/>
      </c>
      <c r="AH49" s="37">
        <f>IFERROR(IF(VLOOKUP(A49,'O&amp;M score'!$A:$D,4,0)="","",VLOOKUP(A49,'O&amp;M score'!$A:$D,4,0)),"")</f>
        <v>132617654.59999999</v>
      </c>
      <c r="AI49" s="37">
        <f>IFERROR(IF(VLOOKUP(A49,'O&amp;M score'!$A:$E,5,0)="","",VLOOKUP(A49,'O&amp;M score'!$A:$E,5,0)),"")</f>
        <v>135032995.5</v>
      </c>
      <c r="AJ49" s="37">
        <f>IFERROR(IF(VLOOKUP(A49,'O&amp;M score'!$A:$F,6,0)="","",VLOOKUP(A49,'O&amp;M score'!$A:$F,6,0)),"")</f>
        <v>0.9821129577178046</v>
      </c>
      <c r="AK49" s="37">
        <f>IFERROR(IF(VLOOKUP(A49,'O&amp;M score'!$A:$G,7,0)="","",VLOOKUP(A49,'O&amp;M score'!$A:$G,7,0)),"")</f>
        <v>0.43577408456439071</v>
      </c>
      <c r="AL49" s="37">
        <f>IFERROR(IF(VLOOKUP(A49,'Metering Ratio Score'!$A:$C,3,0)="","",VLOOKUP(A49,'Metering Ratio Score'!$A:$C,3,0)),"")</f>
        <v>17589</v>
      </c>
      <c r="AM49" s="37">
        <f>IFERROR(IF(VLOOKUP(A49,'Metering Ratio Score'!$A:$D,4,0)="","",VLOOKUP(A49,'Metering Ratio Score'!$A:$D,4,0)),"")</f>
        <v>17703</v>
      </c>
      <c r="AN49" s="37">
        <f>IFERROR(IF(VLOOKUP(A49,'Metering Ratio Score'!$A:$E,5,0)="","",VLOOKUP(A49,'Metering Ratio Score'!$A:$E,5,0)),"")</f>
        <v>99.35604134892391</v>
      </c>
      <c r="AO49" s="37">
        <f>IFERROR(IF(VLOOKUP(A49,'Metering Ratio Score'!$A:$F,6,0)="","",VLOOKUP(A49,'Metering Ratio Score'!$A:$F,6,0)),"")</f>
        <v>0.98390103372309778</v>
      </c>
      <c r="AP49" s="37" t="str">
        <f>IFERROR(IF(VLOOKUP(A49,'Grievance Addressal'!$A:$C,3,0)="","",VLOOKUP(A49,'Grievance Addressal'!$A:$C,3,0)),"")</f>
        <v>Yes</v>
      </c>
      <c r="AQ49" s="37" t="str">
        <f>IFERROR(IF(VLOOKUP(A49,'Grievance Addressal'!$A:$D,4,0)="","",VLOOKUP(A49,'Grievance Addressal'!$A:$D,4,0)),"")</f>
        <v>Yes</v>
      </c>
      <c r="AR49" s="37">
        <f>IFERROR(IF(VLOOKUP(A49,'Grievance Addressal'!$A:$E,5,0)="","",VLOOKUP(A49,'Grievance Addressal'!$A:$E,5,0)),"")</f>
        <v>1</v>
      </c>
      <c r="AS49" s="37">
        <f>IFERROR(IF(VLOOKUP(A49,Summary_Index!$A$5:$N$281,7,0)="","",VLOOKUP(A49,Summary_Index!$A$5:$N$281,7,0)),"")</f>
        <v>60.4</v>
      </c>
      <c r="AT49" s="37">
        <f>IFERROR(IF(VLOOKUP(A49,Summary_Index!$A$5:$N$281,12,0)="","",VLOOKUP(A49,Summary_Index!$A$5:$N$281,12,0)),"")</f>
        <v>55.6</v>
      </c>
      <c r="AU49" s="37">
        <f>IFERROR(IF(VLOOKUP(A49,Summary_Index!$A$5:$N$281,13,0)="","",VLOOKUP(A49,Summary_Index!$A$5:$N$281,13,0)),"")</f>
        <v>5</v>
      </c>
      <c r="AV49" s="37" t="str">
        <f>IFERROR(IF(VLOOKUP(A49,Summary_Index!$A$5:$N$281,14,0)="","",VLOOKUP(A49,Summary_Index!$A$5:$N$281,14,0)),"")</f>
        <v>5. Improving — Improving Level</v>
      </c>
    </row>
    <row r="50" spans="1:48" ht="45.6" customHeight="1" x14ac:dyDescent="0.3">
      <c r="A50" s="37">
        <f>Spatial!A50</f>
        <v>49</v>
      </c>
      <c r="B50" s="37" t="str">
        <f>Spatial!B50</f>
        <v>Waling_WSUC</v>
      </c>
      <c r="C50" s="37" t="str">
        <f>Spatial!C50</f>
        <v>Gandaki</v>
      </c>
      <c r="D50" s="37" t="str">
        <f>Spatial!D50</f>
        <v>Syangja</v>
      </c>
      <c r="E50" s="37" t="str">
        <f>Spatial!E50</f>
        <v>Municipality</v>
      </c>
      <c r="F50" s="37" t="str">
        <f>Spatial!F50</f>
        <v>Waling</v>
      </c>
      <c r="G50" s="37">
        <f>IFERROR(Spatial!G50,"")</f>
        <v>0</v>
      </c>
      <c r="H50" s="37"/>
      <c r="I50" s="37"/>
      <c r="J50" s="37" t="str">
        <f t="shared" si="0"/>
        <v>Waling_Syangja</v>
      </c>
      <c r="K50" s="37" t="str">
        <f>IFERROR(IF(VLOOKUP(A50,'Service Coverage'!$A:$C,3,0)="","",VLOOKUP(A50,'Service Coverage'!$A:$C,3,0)),"")</f>
        <v>Yes</v>
      </c>
      <c r="L50" s="37">
        <f>IFERROR(IF(VLOOKUP(A50,'Service Coverage'!$A:$D,4,0)="","",VLOOKUP(A50,'Service Coverage'!$A:$D,4,0)),"")</f>
        <v>3130</v>
      </c>
      <c r="M50" s="37">
        <f>IFERROR(IF(VLOOKUP(A50,'Service Coverage'!$A:$E,5,0)="","",VLOOKUP(A50,'Service Coverage'!$A:$E,5,0)),"")</f>
        <v>4800</v>
      </c>
      <c r="N50" s="37">
        <f>IFERROR(IF(VLOOKUP(A50,'Service Coverage'!$A:$F,6,0)="","",VLOOKUP(A50,'Service Coverage'!$A:$F,6,0)),"")</f>
        <v>65.208333333333329</v>
      </c>
      <c r="O50" s="37">
        <f>IFERROR(IF(VLOOKUP(A50,'Service Coverage'!$A:$G,7,0)="","",VLOOKUP(A50,'Service Coverage'!$A:$G,7,0)),"")</f>
        <v>0.1302083333333332</v>
      </c>
      <c r="P50" s="37" t="str">
        <f>IFERROR(IF(VLOOKUP(A50,Adequacy!$A:$C,3,0)="","",VLOOKUP(A50,Adequacy!$A:$C,3,0)),"")</f>
        <v/>
      </c>
      <c r="Q50" s="37">
        <f>IFERROR(IF(VLOOKUP(A50,Adequacy!$A:$D,4,0)="","",VLOOKUP(A50,Adequacy!$A:$D,4,0)),"")</f>
        <v>1100</v>
      </c>
      <c r="R50" s="37">
        <f>IFERROR(IF(VLOOKUP(A50,Adequacy!$A:$E,5,0)="","",VLOOKUP(A50,Adequacy!$A:$E,5,0)),"")</f>
        <v>30000</v>
      </c>
      <c r="S50" s="37">
        <f>IFERROR(IF(VLOOKUP(A50,Adequacy!$A:$G,7,0)="","",VLOOKUP(A50,Adequacy!$A:$G,7,0)),"")</f>
        <v>1.2222222222222223</v>
      </c>
      <c r="T50" s="37" t="str">
        <f>IFERROR(IF(VLOOKUP(A50,Adequacy!$A:$H,8,0)="","",VLOOKUP(A50,Adequacy!$A:$H,8,0)),"")</f>
        <v xml:space="preserve"> </v>
      </c>
      <c r="U50" s="37" t="str">
        <f>IFERROR(IF(VLOOKUP(A50,Adequacy!$A:$J,10,0)="","",VLOOKUP(A50,Adequacy!$A:$J,10,0)),"")</f>
        <v/>
      </c>
      <c r="V50" s="37" t="str">
        <f>IFERROR(IF(VLOOKUP(A50,'Water Quality Score'!$A:$C,3,0)="","",VLOOKUP(A50,'Water Quality Score'!$A:$C,3,0)),"")</f>
        <v>Yes</v>
      </c>
      <c r="W50" s="37" t="str">
        <f>IFERROR(IF(VLOOKUP(A50,'Water Quality Score'!$A:$D,4,0)="","",VLOOKUP(A50,'Water Quality Score'!$A:$D,4,0)),"")</f>
        <v>Yes</v>
      </c>
      <c r="X50" s="37" t="str">
        <f>IFERROR(IF(VLOOKUP(A50,'Water Quality Score'!$A:$E,5,0)="","",VLOOKUP(A50,'Water Quality Score'!$A:$E,5,0)),"")</f>
        <v>Yes</v>
      </c>
      <c r="Y50" s="37">
        <f>IFERROR(IF(VLOOKUP(A50,'Water Quality Score'!$A:$F,6,0)="","",VLOOKUP(A50,'Water Quality Score'!$A:$F,6,0)),"")</f>
        <v>1</v>
      </c>
      <c r="Z50" s="37">
        <f>IFERROR(IF(VLOOKUP(A50,'Reliability score'!$A:$C,3,0)="","",VLOOKUP(A50,'Reliability score'!$A:$C,3,0)),"")</f>
        <v>8</v>
      </c>
      <c r="AA50" s="37">
        <f>IFERROR(IF(VLOOKUP(A50,'Reliability score'!$A:$D,4,0)="","",VLOOKUP(A50,'Reliability score'!$A:$D,4,0)),"")</f>
        <v>0.61904761904761907</v>
      </c>
      <c r="AB50" s="37" t="str">
        <f>IFERROR(IF(VLOOKUP(A50,NRW!$A:$C,3,0)="","",VLOOKUP(A50,NRW!$A:$C,3,0)),"")</f>
        <v>No</v>
      </c>
      <c r="AC50" s="37" t="str">
        <f>IFERROR(IF(VLOOKUP(A50,NRW!$A:$D,4,0)="","",VLOOKUP(A50,NRW!$A:$D,4,0)),"")</f>
        <v>No</v>
      </c>
      <c r="AD50" s="37" t="str">
        <f>IFERROR(IF(VLOOKUP(A50,NRW!$A:$E,5,0)="","",VLOOKUP(A50,NRW!$A:$E,5,0)),"")</f>
        <v>Yes</v>
      </c>
      <c r="AE50" s="37" t="str">
        <f>IFERROR(IF(VLOOKUP(A50,NRW!$A:$F,6,0)="","",VLOOKUP(A50,NRW!$A:$F,6,0)),"")</f>
        <v>No</v>
      </c>
      <c r="AF50" s="37" t="str">
        <f>IFERROR(IF(VLOOKUP(A50,NRW!$A:$G,7,0)="","",VLOOKUP(A50,NRW!$A:$G,7,0)),"")</f>
        <v>No</v>
      </c>
      <c r="AG50" s="37" t="str">
        <f>IFERROR(IF(OR(VLOOKUP(A50,NRW!$A:$H,8,0)="",VLOOKUP(A50,NRW!$A:$H,8,0)=0),"",VLOOKUP(A50,NRW!$A:$H,8,0)),"")</f>
        <v/>
      </c>
      <c r="AH50" s="37">
        <f>IFERROR(IF(VLOOKUP(A50,'O&amp;M score'!$A:$D,4,0)="","",VLOOKUP(A50,'O&amp;M score'!$A:$D,4,0)),"")</f>
        <v>11860000</v>
      </c>
      <c r="AI50" s="37">
        <f>IFERROR(IF(VLOOKUP(A50,'O&amp;M score'!$A:$E,5,0)="","",VLOOKUP(A50,'O&amp;M score'!$A:$E,5,0)),"")</f>
        <v>14187000</v>
      </c>
      <c r="AJ50" s="37">
        <f>IFERROR(IF(VLOOKUP(A50,'O&amp;M score'!$A:$F,6,0)="","",VLOOKUP(A50,'O&amp;M score'!$A:$F,6,0)),"")</f>
        <v>0.835976598294213</v>
      </c>
      <c r="AK50" s="37">
        <f>IFERROR(IF(VLOOKUP(A50,'O&amp;M score'!$A:$G,7,0)="","",VLOOKUP(A50,'O&amp;M score'!$A:$G,7,0)),"")</f>
        <v>0.72804680341157391</v>
      </c>
      <c r="AL50" s="37">
        <f>IFERROR(IF(VLOOKUP(A50,'Metering Ratio Score'!$A:$C,3,0)="","",VLOOKUP(A50,'Metering Ratio Score'!$A:$C,3,0)),"")</f>
        <v>3064</v>
      </c>
      <c r="AM50" s="37">
        <f>IFERROR(IF(VLOOKUP(A50,'Metering Ratio Score'!$A:$D,4,0)="","",VLOOKUP(A50,'Metering Ratio Score'!$A:$D,4,0)),"")</f>
        <v>3130</v>
      </c>
      <c r="AN50" s="37">
        <f>IFERROR(IF(VLOOKUP(A50,'Metering Ratio Score'!$A:$E,5,0)="","",VLOOKUP(A50,'Metering Ratio Score'!$A:$E,5,0)),"")</f>
        <v>97.891373801916941</v>
      </c>
      <c r="AO50" s="37">
        <f>IFERROR(IF(VLOOKUP(A50,'Metering Ratio Score'!$A:$F,6,0)="","",VLOOKUP(A50,'Metering Ratio Score'!$A:$F,6,0)),"")</f>
        <v>0.94728434504792358</v>
      </c>
      <c r="AP50" s="37" t="str">
        <f>IFERROR(IF(VLOOKUP(A50,'Grievance Addressal'!$A:$C,3,0)="","",VLOOKUP(A50,'Grievance Addressal'!$A:$C,3,0)),"")</f>
        <v>Yes</v>
      </c>
      <c r="AQ50" s="37" t="str">
        <f>IFERROR(IF(VLOOKUP(A50,'Grievance Addressal'!$A:$D,4,0)="","",VLOOKUP(A50,'Grievance Addressal'!$A:$D,4,0)),"")</f>
        <v>Yes</v>
      </c>
      <c r="AR50" s="37">
        <f>IFERROR(IF(VLOOKUP(A50,'Grievance Addressal'!$A:$E,5,0)="","",VLOOKUP(A50,'Grievance Addressal'!$A:$E,5,0)),"")</f>
        <v>1</v>
      </c>
      <c r="AS50" s="37">
        <f>IFERROR(IF(VLOOKUP(A50,Summary_Index!$A$5:$N$281,7,0)="","",VLOOKUP(A50,Summary_Index!$A$5:$N$281,7,0)),"")</f>
        <v>50.6</v>
      </c>
      <c r="AT50" s="37">
        <f>IFERROR(IF(VLOOKUP(A50,Summary_Index!$A$5:$N$281,12,0)="","",VLOOKUP(A50,Summary_Index!$A$5:$N$281,12,0)),"")</f>
        <v>62.1</v>
      </c>
      <c r="AU50" s="37">
        <f>IFERROR(IF(VLOOKUP(A50,Summary_Index!$A$5:$N$281,13,0)="","",VLOOKUP(A50,Summary_Index!$A$5:$N$281,13,0)),"")</f>
        <v>5</v>
      </c>
      <c r="AV50" s="37" t="str">
        <f>IFERROR(IF(VLOOKUP(A50,Summary_Index!$A$5:$N$281,14,0)="","",VLOOKUP(A50,Summary_Index!$A$5:$N$281,14,0)),"")</f>
        <v>5. Improving — Improving Level</v>
      </c>
    </row>
    <row r="51" spans="1:48" ht="45.6" customHeight="1" x14ac:dyDescent="0.3">
      <c r="A51" s="37">
        <f>Spatial!A51</f>
        <v>50</v>
      </c>
      <c r="B51" s="37" t="str">
        <f>Spatial!B51</f>
        <v>Baglung_WSUC</v>
      </c>
      <c r="C51" s="37" t="str">
        <f>Spatial!C51</f>
        <v>Gandaki</v>
      </c>
      <c r="D51" s="37" t="str">
        <f>Spatial!D51</f>
        <v>Baglung</v>
      </c>
      <c r="E51" s="37" t="str">
        <f>Spatial!E51</f>
        <v>Municipality</v>
      </c>
      <c r="F51" s="37" t="str">
        <f>Spatial!F51</f>
        <v>Baglung</v>
      </c>
      <c r="G51" s="37" t="str">
        <f>IFERROR(Spatial!G51,"")</f>
        <v>1,2,3,4</v>
      </c>
      <c r="H51" s="37"/>
      <c r="I51" s="37"/>
      <c r="J51" s="37" t="str">
        <f t="shared" si="0"/>
        <v>Baglung_Baglung</v>
      </c>
      <c r="K51" s="37" t="str">
        <f>IFERROR(IF(VLOOKUP(A51,'Service Coverage'!$A:$C,3,0)="","",VLOOKUP(A51,'Service Coverage'!$A:$C,3,0)),"")</f>
        <v>No</v>
      </c>
      <c r="L51" s="37">
        <f>IFERROR(IF(VLOOKUP(A51,'Service Coverage'!$A:$D,4,0)="","",VLOOKUP(A51,'Service Coverage'!$A:$D,4,0)),"")</f>
        <v>4250</v>
      </c>
      <c r="M51" s="37">
        <f>IFERROR(IF(VLOOKUP(A51,'Service Coverage'!$A:$E,5,0)="","",VLOOKUP(A51,'Service Coverage'!$A:$E,5,0)),"")</f>
        <v>4250</v>
      </c>
      <c r="N51" s="37">
        <f>IFERROR(IF(VLOOKUP(A51,'Service Coverage'!$A:$F,6,0)="","",VLOOKUP(A51,'Service Coverage'!$A:$F,6,0)),"")</f>
        <v>100</v>
      </c>
      <c r="O51" s="37">
        <f>IFERROR(IF(VLOOKUP(A51,'Service Coverage'!$A:$G,7,0)="","",VLOOKUP(A51,'Service Coverage'!$A:$G,7,0)),"")</f>
        <v>1</v>
      </c>
      <c r="P51" s="37" t="str">
        <f>IFERROR(IF(VLOOKUP(A51,Adequacy!$A:$C,3,0)="","",VLOOKUP(A51,Adequacy!$A:$C,3,0)),"")</f>
        <v/>
      </c>
      <c r="Q51" s="37">
        <f>IFERROR(IF(VLOOKUP(A51,Adequacy!$A:$D,4,0)="","",VLOOKUP(A51,Adequacy!$A:$D,4,0)),"")</f>
        <v>2307.8000000000002</v>
      </c>
      <c r="R51" s="37">
        <f>IFERROR(IF(VLOOKUP(A51,Adequacy!$A:$E,5,0)="","",VLOOKUP(A51,Adequacy!$A:$E,5,0)),"")</f>
        <v>60000</v>
      </c>
      <c r="S51" s="37">
        <f>IFERROR(IF(VLOOKUP(A51,Adequacy!$A:$G,7,0)="","",VLOOKUP(A51,Adequacy!$A:$G,7,0)),"")</f>
        <v>1.2821111111111112</v>
      </c>
      <c r="T51" s="37" t="str">
        <f>IFERROR(IF(VLOOKUP(A51,Adequacy!$A:$H,8,0)="","",VLOOKUP(A51,Adequacy!$A:$H,8,0)),"")</f>
        <v xml:space="preserve"> </v>
      </c>
      <c r="U51" s="37" t="str">
        <f>IFERROR(IF(VLOOKUP(A51,Adequacy!$A:$J,10,0)="","",VLOOKUP(A51,Adequacy!$A:$J,10,0)),"")</f>
        <v/>
      </c>
      <c r="V51" s="37" t="str">
        <f>IFERROR(IF(VLOOKUP(A51,'Water Quality Score'!$A:$C,3,0)="","",VLOOKUP(A51,'Water Quality Score'!$A:$C,3,0)),"")</f>
        <v>Yes</v>
      </c>
      <c r="W51" s="37" t="str">
        <f>IFERROR(IF(VLOOKUP(A51,'Water Quality Score'!$A:$D,4,0)="","",VLOOKUP(A51,'Water Quality Score'!$A:$D,4,0)),"")</f>
        <v>Yes</v>
      </c>
      <c r="X51" s="37" t="str">
        <f>IFERROR(IF(VLOOKUP(A51,'Water Quality Score'!$A:$E,5,0)="","",VLOOKUP(A51,'Water Quality Score'!$A:$E,5,0)),"")</f>
        <v>Yes</v>
      </c>
      <c r="Y51" s="37">
        <f>IFERROR(IF(VLOOKUP(A51,'Water Quality Score'!$A:$F,6,0)="","",VLOOKUP(A51,'Water Quality Score'!$A:$F,6,0)),"")</f>
        <v>1</v>
      </c>
      <c r="Z51" s="37">
        <f>IFERROR(IF(VLOOKUP(A51,'Reliability score'!$A:$C,3,0)="","",VLOOKUP(A51,'Reliability score'!$A:$C,3,0)),"")</f>
        <v>2</v>
      </c>
      <c r="AA51" s="37">
        <f>IFERROR(IF(VLOOKUP(A51,'Reliability score'!$A:$D,4,0)="","",VLOOKUP(A51,'Reliability score'!$A:$D,4,0)),"")</f>
        <v>0</v>
      </c>
      <c r="AB51" s="37" t="str">
        <f>IFERROR(IF(VLOOKUP(A51,NRW!$A:$C,3,0)="","",VLOOKUP(A51,NRW!$A:$C,3,0)),"")</f>
        <v/>
      </c>
      <c r="AC51" s="37" t="str">
        <f>IFERROR(IF(VLOOKUP(A51,NRW!$A:$D,4,0)="","",VLOOKUP(A51,NRW!$A:$D,4,0)),"")</f>
        <v/>
      </c>
      <c r="AD51" s="37" t="str">
        <f>IFERROR(IF(VLOOKUP(A51,NRW!$A:$E,5,0)="","",VLOOKUP(A51,NRW!$A:$E,5,0)),"")</f>
        <v/>
      </c>
      <c r="AE51" s="37" t="str">
        <f>IFERROR(IF(VLOOKUP(A51,NRW!$A:$F,6,0)="","",VLOOKUP(A51,NRW!$A:$F,6,0)),"")</f>
        <v/>
      </c>
      <c r="AF51" s="37" t="str">
        <f>IFERROR(IF(VLOOKUP(A51,NRW!$A:$G,7,0)="","",VLOOKUP(A51,NRW!$A:$G,7,0)),"")</f>
        <v/>
      </c>
      <c r="AG51" s="37" t="str">
        <f>IFERROR(IF(OR(VLOOKUP(A51,NRW!$A:$H,8,0)="",VLOOKUP(A51,NRW!$A:$H,8,0)=0),"",VLOOKUP(A51,NRW!$A:$H,8,0)),"")</f>
        <v/>
      </c>
      <c r="AH51" s="37">
        <f>IFERROR(IF(VLOOKUP(A51,'O&amp;M score'!$A:$D,4,0)="","",VLOOKUP(A51,'O&amp;M score'!$A:$D,4,0)),"")</f>
        <v>32310105.829999998</v>
      </c>
      <c r="AI51" s="37">
        <f>IFERROR(IF(VLOOKUP(A51,'O&amp;M score'!$A:$E,5,0)="","",VLOOKUP(A51,'O&amp;M score'!$A:$E,5,0)),"")</f>
        <v>30385338.469999999</v>
      </c>
      <c r="AJ51" s="37">
        <f>IFERROR(IF(VLOOKUP(A51,'O&amp;M score'!$A:$F,6,0)="","",VLOOKUP(A51,'O&amp;M score'!$A:$F,6,0)),"")</f>
        <v>1.0633452663988048</v>
      </c>
      <c r="AK51" s="37">
        <f>IFERROR(IF(VLOOKUP(A51,'O&amp;M score'!$A:$G,7,0)="","",VLOOKUP(A51,'O&amp;M score'!$A:$G,7,0)),"")</f>
        <v>0.27330946720239035</v>
      </c>
      <c r="AL51" s="37">
        <f>IFERROR(IF(VLOOKUP(A51,'Metering Ratio Score'!$A:$C,3,0)="","",VLOOKUP(A51,'Metering Ratio Score'!$A:$C,3,0)),"")</f>
        <v>4250</v>
      </c>
      <c r="AM51" s="37">
        <f>IFERROR(IF(VLOOKUP(A51,'Metering Ratio Score'!$A:$D,4,0)="","",VLOOKUP(A51,'Metering Ratio Score'!$A:$D,4,0)),"")</f>
        <v>4250</v>
      </c>
      <c r="AN51" s="37">
        <f>IFERROR(IF(VLOOKUP(A51,'Metering Ratio Score'!$A:$E,5,0)="","",VLOOKUP(A51,'Metering Ratio Score'!$A:$E,5,0)),"")</f>
        <v>100</v>
      </c>
      <c r="AO51" s="37">
        <f>IFERROR(IF(VLOOKUP(A51,'Metering Ratio Score'!$A:$F,6,0)="","",VLOOKUP(A51,'Metering Ratio Score'!$A:$F,6,0)),"")</f>
        <v>1</v>
      </c>
      <c r="AP51" s="37" t="str">
        <f>IFERROR(IF(VLOOKUP(A51,'Grievance Addressal'!$A:$C,3,0)="","",VLOOKUP(A51,'Grievance Addressal'!$A:$C,3,0)),"")</f>
        <v>Yes</v>
      </c>
      <c r="AQ51" s="37" t="str">
        <f>IFERROR(IF(VLOOKUP(A51,'Grievance Addressal'!$A:$D,4,0)="","",VLOOKUP(A51,'Grievance Addressal'!$A:$D,4,0)),"")</f>
        <v>Yes</v>
      </c>
      <c r="AR51" s="37">
        <f>IFERROR(IF(VLOOKUP(A51,'Grievance Addressal'!$A:$E,5,0)="","",VLOOKUP(A51,'Grievance Addressal'!$A:$E,5,0)),"")</f>
        <v>1</v>
      </c>
      <c r="AS51" s="37">
        <f>IFERROR(IF(VLOOKUP(A51,Summary_Index!$A$5:$N$281,7,0)="","",VLOOKUP(A51,Summary_Index!$A$5:$N$281,7,0)),"")</f>
        <v>60</v>
      </c>
      <c r="AT51" s="37">
        <f>IFERROR(IF(VLOOKUP(A51,Summary_Index!$A$5:$N$281,12,0)="","",VLOOKUP(A51,Summary_Index!$A$5:$N$281,12,0)),"")</f>
        <v>51.8</v>
      </c>
      <c r="AU51" s="37">
        <f>IFERROR(IF(VLOOKUP(A51,Summary_Index!$A$5:$N$281,13,0)="","",VLOOKUP(A51,Summary_Index!$A$5:$N$281,13,0)),"")</f>
        <v>5</v>
      </c>
      <c r="AV51" s="37" t="str">
        <f>IFERROR(IF(VLOOKUP(A51,Summary_Index!$A$5:$N$281,14,0)="","",VLOOKUP(A51,Summary_Index!$A$5:$N$281,14,0)),"")</f>
        <v>5. Improving — Improving Level</v>
      </c>
    </row>
    <row r="52" spans="1:48" ht="45.6" customHeight="1" x14ac:dyDescent="0.3">
      <c r="A52" s="37">
        <f>Spatial!A52</f>
        <v>51</v>
      </c>
      <c r="B52" s="87">
        <f>Spatial!B52</f>
        <v>0</v>
      </c>
      <c r="C52" s="37">
        <f>Spatial!C52</f>
        <v>0</v>
      </c>
      <c r="D52" s="37">
        <f>Spatial!D52</f>
        <v>0</v>
      </c>
      <c r="E52" s="37">
        <f>Spatial!E52</f>
        <v>0</v>
      </c>
      <c r="F52" s="37">
        <f>Spatial!F52</f>
        <v>0</v>
      </c>
      <c r="G52" s="37">
        <f>IFERROR(Spatial!G52,"")</f>
        <v>0</v>
      </c>
      <c r="H52" s="37"/>
      <c r="I52" s="37"/>
      <c r="J52" s="37" t="str">
        <f t="shared" si="0"/>
        <v>0_0</v>
      </c>
      <c r="K52" s="37" t="str">
        <f>IFERROR(IF(VLOOKUP(A52,'Service Coverage'!$A:$C,3,0)="","",VLOOKUP(A52,'Service Coverage'!$A:$C,3,0)),"")</f>
        <v/>
      </c>
      <c r="L52" s="37" t="str">
        <f>IFERROR(IF(VLOOKUP(A52,'Service Coverage'!$A:$D,4,0)="","",VLOOKUP(A52,'Service Coverage'!$A:$D,4,0)),"")</f>
        <v/>
      </c>
      <c r="M52" s="37" t="str">
        <f>IFERROR(IF(VLOOKUP(A52,'Service Coverage'!$A:$E,5,0)="","",VLOOKUP(A52,'Service Coverage'!$A:$E,5,0)),"")</f>
        <v/>
      </c>
      <c r="N52" s="37" t="str">
        <f>IFERROR(IF(VLOOKUP(A52,'Service Coverage'!$A:$F,6,0)="","",VLOOKUP(A52,'Service Coverage'!$A:$F,6,0)),"")</f>
        <v/>
      </c>
      <c r="O52" s="37" t="str">
        <f>IFERROR(IF(VLOOKUP(A52,'Service Coverage'!$A:$G,7,0)="","",VLOOKUP(A52,'Service Coverage'!$A:$G,7,0)),"")</f>
        <v/>
      </c>
      <c r="P52" s="37" t="str">
        <f>IFERROR(IF(VLOOKUP(A52,Adequacy!$A:$C,3,0)="","",VLOOKUP(A52,Adequacy!$A:$C,3,0)),"")</f>
        <v/>
      </c>
      <c r="Q52" s="37" t="str">
        <f>IFERROR(IF(VLOOKUP(A52,Adequacy!$A:$D,4,0)="","",VLOOKUP(A52,Adequacy!$A:$D,4,0)),"")</f>
        <v/>
      </c>
      <c r="R52" s="37" t="str">
        <f>IFERROR(IF(VLOOKUP(A52,Adequacy!$A:$E,5,0)="","",VLOOKUP(A52,Adequacy!$A:$E,5,0)),"")</f>
        <v/>
      </c>
      <c r="S52" s="37" t="str">
        <f>IFERROR(IF(VLOOKUP(A52,Adequacy!$A:$G,7,0)="","",VLOOKUP(A52,Adequacy!$A:$G,7,0)),"")</f>
        <v/>
      </c>
      <c r="T52" s="37" t="str">
        <f>IFERROR(IF(VLOOKUP(A52,Adequacy!$A:$H,8,0)="","",VLOOKUP(A52,Adequacy!$A:$H,8,0)),"")</f>
        <v xml:space="preserve"> </v>
      </c>
      <c r="U52" s="37" t="str">
        <f>IFERROR(IF(VLOOKUP(A52,Adequacy!$A:$J,10,0)="","",VLOOKUP(A52,Adequacy!$A:$J,10,0)),"")</f>
        <v/>
      </c>
      <c r="V52" s="37" t="str">
        <f>IFERROR(IF(VLOOKUP(A52,'Water Quality Score'!$A:$C,3,0)="","",VLOOKUP(A52,'Water Quality Score'!$A:$C,3,0)),"")</f>
        <v/>
      </c>
      <c r="W52" s="37" t="str">
        <f>IFERROR(IF(VLOOKUP(A52,'Water Quality Score'!$A:$D,4,0)="","",VLOOKUP(A52,'Water Quality Score'!$A:$D,4,0)),"")</f>
        <v/>
      </c>
      <c r="X52" s="37" t="str">
        <f>IFERROR(IF(VLOOKUP(A52,'Water Quality Score'!$A:$E,5,0)="","",VLOOKUP(A52,'Water Quality Score'!$A:$E,5,0)),"")</f>
        <v/>
      </c>
      <c r="Y52" s="37">
        <f>IFERROR(IF(VLOOKUP(A52,'Water Quality Score'!$A:$F,6,0)="","",VLOOKUP(A52,'Water Quality Score'!$A:$F,6,0)),"")</f>
        <v>0</v>
      </c>
      <c r="Z52" s="37" t="str">
        <f>IFERROR(IF(VLOOKUP(A52,'Reliability score'!$A:$C,3,0)="","",VLOOKUP(A52,'Reliability score'!$A:$C,3,0)),"")</f>
        <v/>
      </c>
      <c r="AA52" s="37" t="str">
        <f>IFERROR(IF(VLOOKUP(A52,'Reliability score'!$A:$D,4,0)="","",VLOOKUP(A52,'Reliability score'!$A:$D,4,0)),"")</f>
        <v xml:space="preserve"> </v>
      </c>
      <c r="AB52" s="37" t="str">
        <f>IFERROR(IF(VLOOKUP(A52,NRW!$A:$C,3,0)="","",VLOOKUP(A52,NRW!$A:$C,3,0)),"")</f>
        <v/>
      </c>
      <c r="AC52" s="37" t="str">
        <f>IFERROR(IF(VLOOKUP(A52,NRW!$A:$D,4,0)="","",VLOOKUP(A52,NRW!$A:$D,4,0)),"")</f>
        <v/>
      </c>
      <c r="AD52" s="37" t="str">
        <f>IFERROR(IF(VLOOKUP(A52,NRW!$A:$E,5,0)="","",VLOOKUP(A52,NRW!$A:$E,5,0)),"")</f>
        <v/>
      </c>
      <c r="AE52" s="37" t="str">
        <f>IFERROR(IF(VLOOKUP(A52,NRW!$A:$F,6,0)="","",VLOOKUP(A52,NRW!$A:$F,6,0)),"")</f>
        <v/>
      </c>
      <c r="AF52" s="37" t="str">
        <f>IFERROR(IF(VLOOKUP(A52,NRW!$A:$G,7,0)="","",VLOOKUP(A52,NRW!$A:$G,7,0)),"")</f>
        <v/>
      </c>
      <c r="AG52" s="37" t="str">
        <f>IFERROR(IF(OR(VLOOKUP(A52,NRW!$A:$H,8,0)="",VLOOKUP(A52,NRW!$A:$H,8,0)=0),"",VLOOKUP(A52,NRW!$A:$H,8,0)),"")</f>
        <v/>
      </c>
      <c r="AH52" s="87" t="str">
        <f>IFERROR(IF(VLOOKUP(A52,'O&amp;M score'!$A:$D,4,0)="","",VLOOKUP(A52,'O&amp;M score'!$A:$D,4,0)),"")</f>
        <v/>
      </c>
      <c r="AI52" s="87" t="str">
        <f>IFERROR(IF(VLOOKUP(A52,'O&amp;M score'!$A:$E,5,0)="","",VLOOKUP(A52,'O&amp;M score'!$A:$E,5,0)),"")</f>
        <v/>
      </c>
      <c r="AJ52" s="87" t="str">
        <f>IFERROR(IF(VLOOKUP(A52,'O&amp;M score'!$A:$F,6,0)="","",VLOOKUP(A52,'O&amp;M score'!$A:$F,6,0)),"")</f>
        <v/>
      </c>
      <c r="AK52" s="87" t="str">
        <f>IFERROR(IF(VLOOKUP(A52,'O&amp;M score'!$A:$G,7,0)="","",VLOOKUP(A52,'O&amp;M score'!$A:$G,7,0)),"")</f>
        <v/>
      </c>
      <c r="AL52" s="87" t="str">
        <f>IFERROR(IF(VLOOKUP(A52,'Metering Ratio Score'!$A:$C,3,0)="","",VLOOKUP(A52,'Metering Ratio Score'!$A:$C,3,0)),"")</f>
        <v/>
      </c>
      <c r="AM52" s="87" t="str">
        <f>IFERROR(IF(VLOOKUP(A52,'Metering Ratio Score'!$A:$D,4,0)="","",VLOOKUP(A52,'Metering Ratio Score'!$A:$D,4,0)),"")</f>
        <v/>
      </c>
      <c r="AN52" s="87" t="str">
        <f>IFERROR(IF(VLOOKUP(A52,'Metering Ratio Score'!$A:$E,5,0)="","",VLOOKUP(A52,'Metering Ratio Score'!$A:$E,5,0)),"")</f>
        <v/>
      </c>
      <c r="AO52" s="87" t="str">
        <f>IFERROR(IF(VLOOKUP(A52,'Metering Ratio Score'!$A:$F,6,0)="","",VLOOKUP(A52,'Metering Ratio Score'!$A:$F,6,0)),"")</f>
        <v/>
      </c>
      <c r="AP52" s="87" t="str">
        <f>IFERROR(IF(VLOOKUP(A52,'Grievance Addressal'!$A:$C,3,0)="","",VLOOKUP(A52,'Grievance Addressal'!$A:$C,3,0)),"")</f>
        <v/>
      </c>
      <c r="AQ52" s="87" t="str">
        <f>IFERROR(IF(VLOOKUP(A52,'Grievance Addressal'!$A:$D,4,0)="","",VLOOKUP(A52,'Grievance Addressal'!$A:$D,4,0)),"")</f>
        <v/>
      </c>
      <c r="AR52" s="87" t="str">
        <f>IFERROR(IF(VLOOKUP(A52,'Grievance Addressal'!$A:$E,5,0)="","",VLOOKUP(A52,'Grievance Addressal'!$A:$E,5,0)),"")</f>
        <v xml:space="preserve"> </v>
      </c>
      <c r="AS52" s="87" t="str">
        <f>IFERROR(IF(VLOOKUP(A52,Summary_Index!$A$5:$N$281,7,0)="","",VLOOKUP(A52,Summary_Index!$A$5:$N$281,7,0)),"")</f>
        <v/>
      </c>
      <c r="AT52" s="87" t="str">
        <f>IFERROR(IF(VLOOKUP(A52,Summary_Index!$A$5:$N$281,12,0)="","",VLOOKUP(A52,Summary_Index!$A$5:$N$281,12,0)),"")</f>
        <v/>
      </c>
      <c r="AU52" s="87" t="str">
        <f>IFERROR(IF(VLOOKUP(A52,Summary_Index!$A$5:$N$281,13,0)="","",VLOOKUP(A52,Summary_Index!$A$5:$N$281,13,0)),"")</f>
        <v/>
      </c>
      <c r="AV52" s="87" t="str">
        <f>IFERROR(IF(VLOOKUP(A52,Summary_Index!$A$5:$N$281,14,0)="","",VLOOKUP(A52,Summary_Index!$A$5:$N$281,14,0)),"")</f>
        <v/>
      </c>
    </row>
    <row r="53" spans="1:48" ht="45.6" customHeight="1" x14ac:dyDescent="0.3">
      <c r="A53" s="37">
        <f>Spatial!A53</f>
        <v>52</v>
      </c>
      <c r="B53" s="87">
        <f>Spatial!B53</f>
        <v>0</v>
      </c>
      <c r="C53" s="37">
        <f>Spatial!C53</f>
        <v>0</v>
      </c>
      <c r="D53" s="37">
        <f>Spatial!D53</f>
        <v>0</v>
      </c>
      <c r="E53" s="37">
        <f>Spatial!E53</f>
        <v>0</v>
      </c>
      <c r="F53" s="37">
        <f>Spatial!F53</f>
        <v>0</v>
      </c>
      <c r="G53" s="37">
        <f>IFERROR(Spatial!G53,"")</f>
        <v>0</v>
      </c>
      <c r="H53" s="37"/>
      <c r="I53" s="37"/>
      <c r="J53" s="37" t="str">
        <f t="shared" si="0"/>
        <v>0_0</v>
      </c>
      <c r="K53" s="37" t="str">
        <f>IFERROR(IF(VLOOKUP(A53,'Service Coverage'!$A:$C,3,0)="","",VLOOKUP(A53,'Service Coverage'!$A:$C,3,0)),"")</f>
        <v/>
      </c>
      <c r="L53" s="37" t="str">
        <f>IFERROR(IF(VLOOKUP(A53,'Service Coverage'!$A:$D,4,0)="","",VLOOKUP(A53,'Service Coverage'!$A:$D,4,0)),"")</f>
        <v/>
      </c>
      <c r="M53" s="37" t="str">
        <f>IFERROR(IF(VLOOKUP(A53,'Service Coverage'!$A:$E,5,0)="","",VLOOKUP(A53,'Service Coverage'!$A:$E,5,0)),"")</f>
        <v/>
      </c>
      <c r="N53" s="37" t="str">
        <f>IFERROR(IF(VLOOKUP(A53,'Service Coverage'!$A:$F,6,0)="","",VLOOKUP(A53,'Service Coverage'!$A:$F,6,0)),"")</f>
        <v/>
      </c>
      <c r="O53" s="37" t="str">
        <f>IFERROR(IF(VLOOKUP(A53,'Service Coverage'!$A:$G,7,0)="","",VLOOKUP(A53,'Service Coverage'!$A:$G,7,0)),"")</f>
        <v/>
      </c>
      <c r="P53" s="37" t="str">
        <f>IFERROR(IF(VLOOKUP(A53,Adequacy!$A:$C,3,0)="","",VLOOKUP(A53,Adequacy!$A:$C,3,0)),"")</f>
        <v/>
      </c>
      <c r="Q53" s="37" t="str">
        <f>IFERROR(IF(VLOOKUP(A53,Adequacy!$A:$D,4,0)="","",VLOOKUP(A53,Adequacy!$A:$D,4,0)),"")</f>
        <v/>
      </c>
      <c r="R53" s="37" t="str">
        <f>IFERROR(IF(VLOOKUP(A53,Adequacy!$A:$E,5,0)="","",VLOOKUP(A53,Adequacy!$A:$E,5,0)),"")</f>
        <v/>
      </c>
      <c r="S53" s="37" t="str">
        <f>IFERROR(IF(VLOOKUP(A53,Adequacy!$A:$G,7,0)="","",VLOOKUP(A53,Adequacy!$A:$G,7,0)),"")</f>
        <v/>
      </c>
      <c r="T53" s="37" t="str">
        <f>IFERROR(IF(VLOOKUP(A53,Adequacy!$A:$H,8,0)="","",VLOOKUP(A53,Adequacy!$A:$H,8,0)),"")</f>
        <v xml:space="preserve"> </v>
      </c>
      <c r="U53" s="37" t="str">
        <f>IFERROR(IF(VLOOKUP(A53,Adequacy!$A:$J,10,0)="","",VLOOKUP(A53,Adequacy!$A:$J,10,0)),"")</f>
        <v/>
      </c>
      <c r="V53" s="37" t="str">
        <f>IFERROR(IF(VLOOKUP(A53,'Water Quality Score'!$A:$C,3,0)="","",VLOOKUP(A53,'Water Quality Score'!$A:$C,3,0)),"")</f>
        <v/>
      </c>
      <c r="W53" s="37" t="str">
        <f>IFERROR(IF(VLOOKUP(A53,'Water Quality Score'!$A:$D,4,0)="","",VLOOKUP(A53,'Water Quality Score'!$A:$D,4,0)),"")</f>
        <v/>
      </c>
      <c r="X53" s="37" t="str">
        <f>IFERROR(IF(VLOOKUP(A53,'Water Quality Score'!$A:$E,5,0)="","",VLOOKUP(A53,'Water Quality Score'!$A:$E,5,0)),"")</f>
        <v/>
      </c>
      <c r="Y53" s="37">
        <f>IFERROR(IF(VLOOKUP(A53,'Water Quality Score'!$A:$F,6,0)="","",VLOOKUP(A53,'Water Quality Score'!$A:$F,6,0)),"")</f>
        <v>0</v>
      </c>
      <c r="Z53" s="37" t="str">
        <f>IFERROR(IF(VLOOKUP(A53,'Reliability score'!$A:$C,3,0)="","",VLOOKUP(A53,'Reliability score'!$A:$C,3,0)),"")</f>
        <v/>
      </c>
      <c r="AA53" s="37" t="str">
        <f>IFERROR(IF(VLOOKUP(A53,'Reliability score'!$A:$D,4,0)="","",VLOOKUP(A53,'Reliability score'!$A:$D,4,0)),"")</f>
        <v xml:space="preserve"> </v>
      </c>
      <c r="AB53" s="37" t="str">
        <f>IFERROR(IF(VLOOKUP(A53,NRW!$A:$C,3,0)="","",VLOOKUP(A53,NRW!$A:$C,3,0)),"")</f>
        <v/>
      </c>
      <c r="AC53" s="37" t="str">
        <f>IFERROR(IF(VLOOKUP(A53,NRW!$A:$D,4,0)="","",VLOOKUP(A53,NRW!$A:$D,4,0)),"")</f>
        <v/>
      </c>
      <c r="AD53" s="37" t="str">
        <f>IFERROR(IF(VLOOKUP(A53,NRW!$A:$E,5,0)="","",VLOOKUP(A53,NRW!$A:$E,5,0)),"")</f>
        <v/>
      </c>
      <c r="AE53" s="37" t="str">
        <f>IFERROR(IF(VLOOKUP(A53,NRW!$A:$F,6,0)="","",VLOOKUP(A53,NRW!$A:$F,6,0)),"")</f>
        <v/>
      </c>
      <c r="AF53" s="37" t="str">
        <f>IFERROR(IF(VLOOKUP(A53,NRW!$A:$G,7,0)="","",VLOOKUP(A53,NRW!$A:$G,7,0)),"")</f>
        <v/>
      </c>
      <c r="AG53" s="37" t="str">
        <f>IFERROR(IF(OR(VLOOKUP(A53,NRW!$A:$H,8,0)="",VLOOKUP(A53,NRW!$A:$H,8,0)=0),"",VLOOKUP(A53,NRW!$A:$H,8,0)),"")</f>
        <v/>
      </c>
      <c r="AH53" s="87" t="str">
        <f>IFERROR(IF(VLOOKUP(A53,'O&amp;M score'!$A:$D,4,0)="","",VLOOKUP(A53,'O&amp;M score'!$A:$D,4,0)),"")</f>
        <v/>
      </c>
      <c r="AI53" s="87" t="str">
        <f>IFERROR(IF(VLOOKUP(A53,'O&amp;M score'!$A:$E,5,0)="","",VLOOKUP(A53,'O&amp;M score'!$A:$E,5,0)),"")</f>
        <v/>
      </c>
      <c r="AJ53" s="87" t="str">
        <f>IFERROR(IF(VLOOKUP(A53,'O&amp;M score'!$A:$F,6,0)="","",VLOOKUP(A53,'O&amp;M score'!$A:$F,6,0)),"")</f>
        <v/>
      </c>
      <c r="AK53" s="87" t="str">
        <f>IFERROR(IF(VLOOKUP(A53,'O&amp;M score'!$A:$G,7,0)="","",VLOOKUP(A53,'O&amp;M score'!$A:$G,7,0)),"")</f>
        <v/>
      </c>
      <c r="AL53" s="87" t="str">
        <f>IFERROR(IF(VLOOKUP(A53,'Metering Ratio Score'!$A:$C,3,0)="","",VLOOKUP(A53,'Metering Ratio Score'!$A:$C,3,0)),"")</f>
        <v/>
      </c>
      <c r="AM53" s="87" t="str">
        <f>IFERROR(IF(VLOOKUP(A53,'Metering Ratio Score'!$A:$D,4,0)="","",VLOOKUP(A53,'Metering Ratio Score'!$A:$D,4,0)),"")</f>
        <v/>
      </c>
      <c r="AN53" s="87" t="str">
        <f>IFERROR(IF(VLOOKUP(A53,'Metering Ratio Score'!$A:$E,5,0)="","",VLOOKUP(A53,'Metering Ratio Score'!$A:$E,5,0)),"")</f>
        <v/>
      </c>
      <c r="AO53" s="87" t="str">
        <f>IFERROR(IF(VLOOKUP(A53,'Metering Ratio Score'!$A:$F,6,0)="","",VLOOKUP(A53,'Metering Ratio Score'!$A:$F,6,0)),"")</f>
        <v/>
      </c>
      <c r="AP53" s="87" t="str">
        <f>IFERROR(IF(VLOOKUP(A53,'Grievance Addressal'!$A:$C,3,0)="","",VLOOKUP(A53,'Grievance Addressal'!$A:$C,3,0)),"")</f>
        <v/>
      </c>
      <c r="AQ53" s="87" t="str">
        <f>IFERROR(IF(VLOOKUP(A53,'Grievance Addressal'!$A:$D,4,0)="","",VLOOKUP(A53,'Grievance Addressal'!$A:$D,4,0)),"")</f>
        <v/>
      </c>
      <c r="AR53" s="87" t="str">
        <f>IFERROR(IF(VLOOKUP(A53,'Grievance Addressal'!$A:$E,5,0)="","",VLOOKUP(A53,'Grievance Addressal'!$A:$E,5,0)),"")</f>
        <v xml:space="preserve"> </v>
      </c>
      <c r="AS53" s="87" t="str">
        <f>IFERROR(IF(VLOOKUP(A53,Summary_Index!$A$5:$N$281,7,0)="","",VLOOKUP(A53,Summary_Index!$A$5:$N$281,7,0)),"")</f>
        <v/>
      </c>
      <c r="AT53" s="87" t="str">
        <f>IFERROR(IF(VLOOKUP(A53,Summary_Index!$A$5:$N$281,12,0)="","",VLOOKUP(A53,Summary_Index!$A$5:$N$281,12,0)),"")</f>
        <v/>
      </c>
      <c r="AU53" s="87" t="str">
        <f>IFERROR(IF(VLOOKUP(A53,Summary_Index!$A$5:$N$281,13,0)="","",VLOOKUP(A53,Summary_Index!$A$5:$N$281,13,0)),"")</f>
        <v/>
      </c>
      <c r="AV53" s="87" t="str">
        <f>IFERROR(IF(VLOOKUP(A53,Summary_Index!$A$5:$N$281,14,0)="","",VLOOKUP(A53,Summary_Index!$A$5:$N$281,14,0)),"")</f>
        <v/>
      </c>
    </row>
    <row r="54" spans="1:48" ht="45.6" customHeight="1" x14ac:dyDescent="0.3">
      <c r="A54" s="37">
        <f>Spatial!A54</f>
        <v>53</v>
      </c>
      <c r="B54" s="87">
        <f>Spatial!B54</f>
        <v>0</v>
      </c>
      <c r="C54" s="37">
        <f>Spatial!C54</f>
        <v>0</v>
      </c>
      <c r="D54" s="37">
        <f>Spatial!D54</f>
        <v>0</v>
      </c>
      <c r="E54" s="37">
        <f>Spatial!E54</f>
        <v>0</v>
      </c>
      <c r="F54" s="37">
        <f>Spatial!F54</f>
        <v>0</v>
      </c>
      <c r="G54" s="37">
        <f>IFERROR(Spatial!G54,"")</f>
        <v>0</v>
      </c>
      <c r="H54" s="37"/>
      <c r="I54" s="37"/>
      <c r="J54" s="37" t="str">
        <f t="shared" si="0"/>
        <v>0_0</v>
      </c>
      <c r="K54" s="37" t="str">
        <f>IFERROR(IF(VLOOKUP(A54,'Service Coverage'!$A:$C,3,0)="","",VLOOKUP(A54,'Service Coverage'!$A:$C,3,0)),"")</f>
        <v/>
      </c>
      <c r="L54" s="37" t="str">
        <f>IFERROR(IF(VLOOKUP(A54,'Service Coverage'!$A:$D,4,0)="","",VLOOKUP(A54,'Service Coverage'!$A:$D,4,0)),"")</f>
        <v/>
      </c>
      <c r="M54" s="37" t="str">
        <f>IFERROR(IF(VLOOKUP(A54,'Service Coverage'!$A:$E,5,0)="","",VLOOKUP(A54,'Service Coverage'!$A:$E,5,0)),"")</f>
        <v/>
      </c>
      <c r="N54" s="37" t="str">
        <f>IFERROR(IF(VLOOKUP(A54,'Service Coverage'!$A:$F,6,0)="","",VLOOKUP(A54,'Service Coverage'!$A:$F,6,0)),"")</f>
        <v/>
      </c>
      <c r="O54" s="37" t="str">
        <f>IFERROR(IF(VLOOKUP(A54,'Service Coverage'!$A:$G,7,0)="","",VLOOKUP(A54,'Service Coverage'!$A:$G,7,0)),"")</f>
        <v/>
      </c>
      <c r="P54" s="37" t="str">
        <f>IFERROR(IF(VLOOKUP(A54,Adequacy!$A:$C,3,0)="","",VLOOKUP(A54,Adequacy!$A:$C,3,0)),"")</f>
        <v/>
      </c>
      <c r="Q54" s="37" t="str">
        <f>IFERROR(IF(VLOOKUP(A54,Adequacy!$A:$D,4,0)="","",VLOOKUP(A54,Adequacy!$A:$D,4,0)),"")</f>
        <v/>
      </c>
      <c r="R54" s="37" t="str">
        <f>IFERROR(IF(VLOOKUP(A54,Adequacy!$A:$E,5,0)="","",VLOOKUP(A54,Adequacy!$A:$E,5,0)),"")</f>
        <v/>
      </c>
      <c r="S54" s="37" t="str">
        <f>IFERROR(IF(VLOOKUP(A54,Adequacy!$A:$G,7,0)="","",VLOOKUP(A54,Adequacy!$A:$G,7,0)),"")</f>
        <v/>
      </c>
      <c r="T54" s="37" t="str">
        <f>IFERROR(IF(VLOOKUP(A54,Adequacy!$A:$H,8,0)="","",VLOOKUP(A54,Adequacy!$A:$H,8,0)),"")</f>
        <v xml:space="preserve"> </v>
      </c>
      <c r="U54" s="37" t="str">
        <f>IFERROR(IF(VLOOKUP(A54,Adequacy!$A:$J,10,0)="","",VLOOKUP(A54,Adequacy!$A:$J,10,0)),"")</f>
        <v/>
      </c>
      <c r="V54" s="37" t="str">
        <f>IFERROR(IF(VLOOKUP(A54,'Water Quality Score'!$A:$C,3,0)="","",VLOOKUP(A54,'Water Quality Score'!$A:$C,3,0)),"")</f>
        <v/>
      </c>
      <c r="W54" s="37" t="str">
        <f>IFERROR(IF(VLOOKUP(A54,'Water Quality Score'!$A:$D,4,0)="","",VLOOKUP(A54,'Water Quality Score'!$A:$D,4,0)),"")</f>
        <v/>
      </c>
      <c r="X54" s="37" t="str">
        <f>IFERROR(IF(VLOOKUP(A54,'Water Quality Score'!$A:$E,5,0)="","",VLOOKUP(A54,'Water Quality Score'!$A:$E,5,0)),"")</f>
        <v/>
      </c>
      <c r="Y54" s="37">
        <f>IFERROR(IF(VLOOKUP(A54,'Water Quality Score'!$A:$F,6,0)="","",VLOOKUP(A54,'Water Quality Score'!$A:$F,6,0)),"")</f>
        <v>0</v>
      </c>
      <c r="Z54" s="37" t="str">
        <f>IFERROR(IF(VLOOKUP(A54,'Reliability score'!$A:$C,3,0)="","",VLOOKUP(A54,'Reliability score'!$A:$C,3,0)),"")</f>
        <v/>
      </c>
      <c r="AA54" s="37" t="str">
        <f>IFERROR(IF(VLOOKUP(A54,'Reliability score'!$A:$D,4,0)="","",VLOOKUP(A54,'Reliability score'!$A:$D,4,0)),"")</f>
        <v xml:space="preserve"> </v>
      </c>
      <c r="AB54" s="37" t="str">
        <f>IFERROR(IF(VLOOKUP(A54,NRW!$A:$C,3,0)="","",VLOOKUP(A54,NRW!$A:$C,3,0)),"")</f>
        <v/>
      </c>
      <c r="AC54" s="37" t="str">
        <f>IFERROR(IF(VLOOKUP(A54,NRW!$A:$D,4,0)="","",VLOOKUP(A54,NRW!$A:$D,4,0)),"")</f>
        <v/>
      </c>
      <c r="AD54" s="37" t="str">
        <f>IFERROR(IF(VLOOKUP(A54,NRW!$A:$E,5,0)="","",VLOOKUP(A54,NRW!$A:$E,5,0)),"")</f>
        <v/>
      </c>
      <c r="AE54" s="37" t="str">
        <f>IFERROR(IF(VLOOKUP(A54,NRW!$A:$F,6,0)="","",VLOOKUP(A54,NRW!$A:$F,6,0)),"")</f>
        <v/>
      </c>
      <c r="AF54" s="37" t="str">
        <f>IFERROR(IF(VLOOKUP(A54,NRW!$A:$G,7,0)="","",VLOOKUP(A54,NRW!$A:$G,7,0)),"")</f>
        <v/>
      </c>
      <c r="AG54" s="37" t="str">
        <f>IFERROR(IF(OR(VLOOKUP(A54,NRW!$A:$H,8,0)="",VLOOKUP(A54,NRW!$A:$H,8,0)=0),"",VLOOKUP(A54,NRW!$A:$H,8,0)),"")</f>
        <v/>
      </c>
      <c r="AH54" s="87" t="str">
        <f>IFERROR(IF(VLOOKUP(A54,'O&amp;M score'!$A:$D,4,0)="","",VLOOKUP(A54,'O&amp;M score'!$A:$D,4,0)),"")</f>
        <v/>
      </c>
      <c r="AI54" s="87" t="str">
        <f>IFERROR(IF(VLOOKUP(A54,'O&amp;M score'!$A:$E,5,0)="","",VLOOKUP(A54,'O&amp;M score'!$A:$E,5,0)),"")</f>
        <v/>
      </c>
      <c r="AJ54" s="87" t="str">
        <f>IFERROR(IF(VLOOKUP(A54,'O&amp;M score'!$A:$F,6,0)="","",VLOOKUP(A54,'O&amp;M score'!$A:$F,6,0)),"")</f>
        <v/>
      </c>
      <c r="AK54" s="87" t="str">
        <f>IFERROR(IF(VLOOKUP(A54,'O&amp;M score'!$A:$G,7,0)="","",VLOOKUP(A54,'O&amp;M score'!$A:$G,7,0)),"")</f>
        <v/>
      </c>
      <c r="AL54" s="87" t="str">
        <f>IFERROR(IF(VLOOKUP(A54,'Metering Ratio Score'!$A:$C,3,0)="","",VLOOKUP(A54,'Metering Ratio Score'!$A:$C,3,0)),"")</f>
        <v/>
      </c>
      <c r="AM54" s="87" t="str">
        <f>IFERROR(IF(VLOOKUP(A54,'Metering Ratio Score'!$A:$D,4,0)="","",VLOOKUP(A54,'Metering Ratio Score'!$A:$D,4,0)),"")</f>
        <v/>
      </c>
      <c r="AN54" s="87" t="str">
        <f>IFERROR(IF(VLOOKUP(A54,'Metering Ratio Score'!$A:$E,5,0)="","",VLOOKUP(A54,'Metering Ratio Score'!$A:$E,5,0)),"")</f>
        <v/>
      </c>
      <c r="AO54" s="87" t="str">
        <f>IFERROR(IF(VLOOKUP(A54,'Metering Ratio Score'!$A:$F,6,0)="","",VLOOKUP(A54,'Metering Ratio Score'!$A:$F,6,0)),"")</f>
        <v/>
      </c>
      <c r="AP54" s="87" t="str">
        <f>IFERROR(IF(VLOOKUP(A54,'Grievance Addressal'!$A:$C,3,0)="","",VLOOKUP(A54,'Grievance Addressal'!$A:$C,3,0)),"")</f>
        <v/>
      </c>
      <c r="AQ54" s="87" t="str">
        <f>IFERROR(IF(VLOOKUP(A54,'Grievance Addressal'!$A:$D,4,0)="","",VLOOKUP(A54,'Grievance Addressal'!$A:$D,4,0)),"")</f>
        <v/>
      </c>
      <c r="AR54" s="87" t="str">
        <f>IFERROR(IF(VLOOKUP(A54,'Grievance Addressal'!$A:$E,5,0)="","",VLOOKUP(A54,'Grievance Addressal'!$A:$E,5,0)),"")</f>
        <v xml:space="preserve"> </v>
      </c>
      <c r="AS54" s="87" t="str">
        <f>IFERROR(IF(VLOOKUP(A54,Summary_Index!$A$5:$N$281,7,0)="","",VLOOKUP(A54,Summary_Index!$A$5:$N$281,7,0)),"")</f>
        <v/>
      </c>
      <c r="AT54" s="87" t="str">
        <f>IFERROR(IF(VLOOKUP(A54,Summary_Index!$A$5:$N$281,12,0)="","",VLOOKUP(A54,Summary_Index!$A$5:$N$281,12,0)),"")</f>
        <v/>
      </c>
      <c r="AU54" s="87" t="str">
        <f>IFERROR(IF(VLOOKUP(A54,Summary_Index!$A$5:$N$281,13,0)="","",VLOOKUP(A54,Summary_Index!$A$5:$N$281,13,0)),"")</f>
        <v/>
      </c>
      <c r="AV54" s="87" t="str">
        <f>IFERROR(IF(VLOOKUP(A54,Summary_Index!$A$5:$N$281,14,0)="","",VLOOKUP(A54,Summary_Index!$A$5:$N$281,14,0)),"")</f>
        <v/>
      </c>
    </row>
    <row r="55" spans="1:48" ht="45.6" customHeight="1" x14ac:dyDescent="0.3">
      <c r="A55" s="37">
        <f>Spatial!A55</f>
        <v>54</v>
      </c>
      <c r="B55" s="87">
        <f>Spatial!B55</f>
        <v>0</v>
      </c>
      <c r="C55" s="37">
        <f>Spatial!C55</f>
        <v>0</v>
      </c>
      <c r="D55" s="37">
        <f>Spatial!D55</f>
        <v>0</v>
      </c>
      <c r="E55" s="37">
        <f>Spatial!E55</f>
        <v>0</v>
      </c>
      <c r="F55" s="37">
        <f>Spatial!F55</f>
        <v>0</v>
      </c>
      <c r="G55" s="37">
        <f>IFERROR(Spatial!G55,"")</f>
        <v>0</v>
      </c>
      <c r="H55" s="37"/>
      <c r="I55" s="37"/>
      <c r="J55" s="37" t="str">
        <f t="shared" si="0"/>
        <v>0_0</v>
      </c>
      <c r="K55" s="37" t="str">
        <f>IFERROR(IF(VLOOKUP(A55,'Service Coverage'!$A:$C,3,0)="","",VLOOKUP(A55,'Service Coverage'!$A:$C,3,0)),"")</f>
        <v/>
      </c>
      <c r="L55" s="37" t="str">
        <f>IFERROR(IF(VLOOKUP(A55,'Service Coverage'!$A:$D,4,0)="","",VLOOKUP(A55,'Service Coverage'!$A:$D,4,0)),"")</f>
        <v/>
      </c>
      <c r="M55" s="37" t="str">
        <f>IFERROR(IF(VLOOKUP(A55,'Service Coverage'!$A:$E,5,0)="","",VLOOKUP(A55,'Service Coverage'!$A:$E,5,0)),"")</f>
        <v/>
      </c>
      <c r="N55" s="37" t="str">
        <f>IFERROR(IF(VLOOKUP(A55,'Service Coverage'!$A:$F,6,0)="","",VLOOKUP(A55,'Service Coverage'!$A:$F,6,0)),"")</f>
        <v/>
      </c>
      <c r="O55" s="37" t="str">
        <f>IFERROR(IF(VLOOKUP(A55,'Service Coverage'!$A:$G,7,0)="","",VLOOKUP(A55,'Service Coverage'!$A:$G,7,0)),"")</f>
        <v/>
      </c>
      <c r="P55" s="37" t="str">
        <f>IFERROR(IF(VLOOKUP(A55,Adequacy!$A:$C,3,0)="","",VLOOKUP(A55,Adequacy!$A:$C,3,0)),"")</f>
        <v/>
      </c>
      <c r="Q55" s="37" t="str">
        <f>IFERROR(IF(VLOOKUP(A55,Adequacy!$A:$D,4,0)="","",VLOOKUP(A55,Adequacy!$A:$D,4,0)),"")</f>
        <v/>
      </c>
      <c r="R55" s="37" t="str">
        <f>IFERROR(IF(VLOOKUP(A55,Adequacy!$A:$E,5,0)="","",VLOOKUP(A55,Adequacy!$A:$E,5,0)),"")</f>
        <v/>
      </c>
      <c r="S55" s="37" t="str">
        <f>IFERROR(IF(VLOOKUP(A55,Adequacy!$A:$G,7,0)="","",VLOOKUP(A55,Adequacy!$A:$G,7,0)),"")</f>
        <v/>
      </c>
      <c r="T55" s="37" t="str">
        <f>IFERROR(IF(VLOOKUP(A55,Adequacy!$A:$H,8,0)="","",VLOOKUP(A55,Adequacy!$A:$H,8,0)),"")</f>
        <v xml:space="preserve"> </v>
      </c>
      <c r="U55" s="37" t="str">
        <f>IFERROR(IF(VLOOKUP(A55,Adequacy!$A:$J,10,0)="","",VLOOKUP(A55,Adequacy!$A:$J,10,0)),"")</f>
        <v/>
      </c>
      <c r="V55" s="37" t="str">
        <f>IFERROR(IF(VLOOKUP(A55,'Water Quality Score'!$A:$C,3,0)="","",VLOOKUP(A55,'Water Quality Score'!$A:$C,3,0)),"")</f>
        <v/>
      </c>
      <c r="W55" s="37" t="str">
        <f>IFERROR(IF(VLOOKUP(A55,'Water Quality Score'!$A:$D,4,0)="","",VLOOKUP(A55,'Water Quality Score'!$A:$D,4,0)),"")</f>
        <v/>
      </c>
      <c r="X55" s="37" t="str">
        <f>IFERROR(IF(VLOOKUP(A55,'Water Quality Score'!$A:$E,5,0)="","",VLOOKUP(A55,'Water Quality Score'!$A:$E,5,0)),"")</f>
        <v/>
      </c>
      <c r="Y55" s="37">
        <f>IFERROR(IF(VLOOKUP(A55,'Water Quality Score'!$A:$F,6,0)="","",VLOOKUP(A55,'Water Quality Score'!$A:$F,6,0)),"")</f>
        <v>0</v>
      </c>
      <c r="Z55" s="37" t="str">
        <f>IFERROR(IF(VLOOKUP(A55,'Reliability score'!$A:$C,3,0)="","",VLOOKUP(A55,'Reliability score'!$A:$C,3,0)),"")</f>
        <v/>
      </c>
      <c r="AA55" s="37" t="str">
        <f>IFERROR(IF(VLOOKUP(A55,'Reliability score'!$A:$D,4,0)="","",VLOOKUP(A55,'Reliability score'!$A:$D,4,0)),"")</f>
        <v xml:space="preserve"> </v>
      </c>
      <c r="AB55" s="37" t="str">
        <f>IFERROR(IF(VLOOKUP(A55,NRW!$A:$C,3,0)="","",VLOOKUP(A55,NRW!$A:$C,3,0)),"")</f>
        <v/>
      </c>
      <c r="AC55" s="37" t="str">
        <f>IFERROR(IF(VLOOKUP(A55,NRW!$A:$D,4,0)="","",VLOOKUP(A55,NRW!$A:$D,4,0)),"")</f>
        <v/>
      </c>
      <c r="AD55" s="37" t="str">
        <f>IFERROR(IF(VLOOKUP(A55,NRW!$A:$E,5,0)="","",VLOOKUP(A55,NRW!$A:$E,5,0)),"")</f>
        <v/>
      </c>
      <c r="AE55" s="37" t="str">
        <f>IFERROR(IF(VLOOKUP(A55,NRW!$A:$F,6,0)="","",VLOOKUP(A55,NRW!$A:$F,6,0)),"")</f>
        <v/>
      </c>
      <c r="AF55" s="37" t="str">
        <f>IFERROR(IF(VLOOKUP(A55,NRW!$A:$G,7,0)="","",VLOOKUP(A55,NRW!$A:$G,7,0)),"")</f>
        <v/>
      </c>
      <c r="AG55" s="37" t="str">
        <f>IFERROR(IF(OR(VLOOKUP(A55,NRW!$A:$H,8,0)="",VLOOKUP(A55,NRW!$A:$H,8,0)=0),"",VLOOKUP(A55,NRW!$A:$H,8,0)),"")</f>
        <v/>
      </c>
      <c r="AH55" s="87" t="str">
        <f>IFERROR(IF(VLOOKUP(A55,'O&amp;M score'!$A:$D,4,0)="","",VLOOKUP(A55,'O&amp;M score'!$A:$D,4,0)),"")</f>
        <v/>
      </c>
      <c r="AI55" s="87" t="str">
        <f>IFERROR(IF(VLOOKUP(A55,'O&amp;M score'!$A:$E,5,0)="","",VLOOKUP(A55,'O&amp;M score'!$A:$E,5,0)),"")</f>
        <v/>
      </c>
      <c r="AJ55" s="87" t="str">
        <f>IFERROR(IF(VLOOKUP(A55,'O&amp;M score'!$A:$F,6,0)="","",VLOOKUP(A55,'O&amp;M score'!$A:$F,6,0)),"")</f>
        <v/>
      </c>
      <c r="AK55" s="87" t="str">
        <f>IFERROR(IF(VLOOKUP(A55,'O&amp;M score'!$A:$G,7,0)="","",VLOOKUP(A55,'O&amp;M score'!$A:$G,7,0)),"")</f>
        <v/>
      </c>
      <c r="AL55" s="87" t="str">
        <f>IFERROR(IF(VLOOKUP(A55,'Metering Ratio Score'!$A:$C,3,0)="","",VLOOKUP(A55,'Metering Ratio Score'!$A:$C,3,0)),"")</f>
        <v/>
      </c>
      <c r="AM55" s="87" t="str">
        <f>IFERROR(IF(VLOOKUP(A55,'Metering Ratio Score'!$A:$D,4,0)="","",VLOOKUP(A55,'Metering Ratio Score'!$A:$D,4,0)),"")</f>
        <v/>
      </c>
      <c r="AN55" s="87" t="str">
        <f>IFERROR(IF(VLOOKUP(A55,'Metering Ratio Score'!$A:$E,5,0)="","",VLOOKUP(A55,'Metering Ratio Score'!$A:$E,5,0)),"")</f>
        <v/>
      </c>
      <c r="AO55" s="87" t="str">
        <f>IFERROR(IF(VLOOKUP(A55,'Metering Ratio Score'!$A:$F,6,0)="","",VLOOKUP(A55,'Metering Ratio Score'!$A:$F,6,0)),"")</f>
        <v/>
      </c>
      <c r="AP55" s="87" t="str">
        <f>IFERROR(IF(VLOOKUP(A55,'Grievance Addressal'!$A:$C,3,0)="","",VLOOKUP(A55,'Grievance Addressal'!$A:$C,3,0)),"")</f>
        <v/>
      </c>
      <c r="AQ55" s="87" t="str">
        <f>IFERROR(IF(VLOOKUP(A55,'Grievance Addressal'!$A:$D,4,0)="","",VLOOKUP(A55,'Grievance Addressal'!$A:$D,4,0)),"")</f>
        <v/>
      </c>
      <c r="AR55" s="87" t="str">
        <f>IFERROR(IF(VLOOKUP(A55,'Grievance Addressal'!$A:$E,5,0)="","",VLOOKUP(A55,'Grievance Addressal'!$A:$E,5,0)),"")</f>
        <v xml:space="preserve"> </v>
      </c>
      <c r="AS55" s="87" t="str">
        <f>IFERROR(IF(VLOOKUP(A55,Summary_Index!$A$5:$N$281,7,0)="","",VLOOKUP(A55,Summary_Index!$A$5:$N$281,7,0)),"")</f>
        <v/>
      </c>
      <c r="AT55" s="87" t="str">
        <f>IFERROR(IF(VLOOKUP(A55,Summary_Index!$A$5:$N$281,12,0)="","",VLOOKUP(A55,Summary_Index!$A$5:$N$281,12,0)),"")</f>
        <v/>
      </c>
      <c r="AU55" s="87" t="str">
        <f>IFERROR(IF(VLOOKUP(A55,Summary_Index!$A$5:$N$281,13,0)="","",VLOOKUP(A55,Summary_Index!$A$5:$N$281,13,0)),"")</f>
        <v/>
      </c>
      <c r="AV55" s="87" t="str">
        <f>IFERROR(IF(VLOOKUP(A55,Summary_Index!$A$5:$N$281,14,0)="","",VLOOKUP(A55,Summary_Index!$A$5:$N$281,14,0)),"")</f>
        <v/>
      </c>
    </row>
    <row r="56" spans="1:48" ht="45.6" customHeight="1" x14ac:dyDescent="0.3">
      <c r="A56" s="37">
        <f>Spatial!A56</f>
        <v>55</v>
      </c>
      <c r="B56" s="87">
        <f>Spatial!B56</f>
        <v>0</v>
      </c>
      <c r="C56" s="37">
        <f>Spatial!C56</f>
        <v>0</v>
      </c>
      <c r="D56" s="37">
        <f>Spatial!D56</f>
        <v>0</v>
      </c>
      <c r="E56" s="37">
        <f>Spatial!E56</f>
        <v>0</v>
      </c>
      <c r="F56" s="37">
        <f>Spatial!F56</f>
        <v>0</v>
      </c>
      <c r="G56" s="37">
        <f>IFERROR(Spatial!G56,"")</f>
        <v>0</v>
      </c>
      <c r="H56" s="37"/>
      <c r="I56" s="37"/>
      <c r="J56" s="37" t="str">
        <f t="shared" si="0"/>
        <v>0_0</v>
      </c>
      <c r="K56" s="37" t="str">
        <f>IFERROR(IF(VLOOKUP(A56,'Service Coverage'!$A:$C,3,0)="","",VLOOKUP(A56,'Service Coverage'!$A:$C,3,0)),"")</f>
        <v/>
      </c>
      <c r="L56" s="37" t="str">
        <f>IFERROR(IF(VLOOKUP(A56,'Service Coverage'!$A:$D,4,0)="","",VLOOKUP(A56,'Service Coverage'!$A:$D,4,0)),"")</f>
        <v/>
      </c>
      <c r="M56" s="37" t="str">
        <f>IFERROR(IF(VLOOKUP(A56,'Service Coverage'!$A:$E,5,0)="","",VLOOKUP(A56,'Service Coverage'!$A:$E,5,0)),"")</f>
        <v/>
      </c>
      <c r="N56" s="37" t="str">
        <f>IFERROR(IF(VLOOKUP(A56,'Service Coverage'!$A:$F,6,0)="","",VLOOKUP(A56,'Service Coverage'!$A:$F,6,0)),"")</f>
        <v/>
      </c>
      <c r="O56" s="37" t="str">
        <f>IFERROR(IF(VLOOKUP(A56,'Service Coverage'!$A:$G,7,0)="","",VLOOKUP(A56,'Service Coverage'!$A:$G,7,0)),"")</f>
        <v/>
      </c>
      <c r="P56" s="37" t="str">
        <f>IFERROR(IF(VLOOKUP(A56,Adequacy!$A:$C,3,0)="","",VLOOKUP(A56,Adequacy!$A:$C,3,0)),"")</f>
        <v/>
      </c>
      <c r="Q56" s="37" t="str">
        <f>IFERROR(IF(VLOOKUP(A56,Adequacy!$A:$D,4,0)="","",VLOOKUP(A56,Adequacy!$A:$D,4,0)),"")</f>
        <v/>
      </c>
      <c r="R56" s="37" t="str">
        <f>IFERROR(IF(VLOOKUP(A56,Adequacy!$A:$E,5,0)="","",VLOOKUP(A56,Adequacy!$A:$E,5,0)),"")</f>
        <v/>
      </c>
      <c r="S56" s="37" t="str">
        <f>IFERROR(IF(VLOOKUP(A56,Adequacy!$A:$G,7,0)="","",VLOOKUP(A56,Adequacy!$A:$G,7,0)),"")</f>
        <v/>
      </c>
      <c r="T56" s="37" t="str">
        <f>IFERROR(IF(VLOOKUP(A56,Adequacy!$A:$H,8,0)="","",VLOOKUP(A56,Adequacy!$A:$H,8,0)),"")</f>
        <v xml:space="preserve"> </v>
      </c>
      <c r="U56" s="37" t="str">
        <f>IFERROR(IF(VLOOKUP(A56,Adequacy!$A:$J,10,0)="","",VLOOKUP(A56,Adequacy!$A:$J,10,0)),"")</f>
        <v/>
      </c>
      <c r="V56" s="37" t="str">
        <f>IFERROR(IF(VLOOKUP(A56,'Water Quality Score'!$A:$C,3,0)="","",VLOOKUP(A56,'Water Quality Score'!$A:$C,3,0)),"")</f>
        <v/>
      </c>
      <c r="W56" s="37" t="str">
        <f>IFERROR(IF(VLOOKUP(A56,'Water Quality Score'!$A:$D,4,0)="","",VLOOKUP(A56,'Water Quality Score'!$A:$D,4,0)),"")</f>
        <v/>
      </c>
      <c r="X56" s="37" t="str">
        <f>IFERROR(IF(VLOOKUP(A56,'Water Quality Score'!$A:$E,5,0)="","",VLOOKUP(A56,'Water Quality Score'!$A:$E,5,0)),"")</f>
        <v/>
      </c>
      <c r="Y56" s="37">
        <f>IFERROR(IF(VLOOKUP(A56,'Water Quality Score'!$A:$F,6,0)="","",VLOOKUP(A56,'Water Quality Score'!$A:$F,6,0)),"")</f>
        <v>0</v>
      </c>
      <c r="Z56" s="37" t="str">
        <f>IFERROR(IF(VLOOKUP(A56,'Reliability score'!$A:$C,3,0)="","",VLOOKUP(A56,'Reliability score'!$A:$C,3,0)),"")</f>
        <v/>
      </c>
      <c r="AA56" s="37" t="str">
        <f>IFERROR(IF(VLOOKUP(A56,'Reliability score'!$A:$D,4,0)="","",VLOOKUP(A56,'Reliability score'!$A:$D,4,0)),"")</f>
        <v xml:space="preserve"> </v>
      </c>
      <c r="AB56" s="37" t="str">
        <f>IFERROR(IF(VLOOKUP(A56,NRW!$A:$C,3,0)="","",VLOOKUP(A56,NRW!$A:$C,3,0)),"")</f>
        <v/>
      </c>
      <c r="AC56" s="37" t="str">
        <f>IFERROR(IF(VLOOKUP(A56,NRW!$A:$D,4,0)="","",VLOOKUP(A56,NRW!$A:$D,4,0)),"")</f>
        <v/>
      </c>
      <c r="AD56" s="37" t="str">
        <f>IFERROR(IF(VLOOKUP(A56,NRW!$A:$E,5,0)="","",VLOOKUP(A56,NRW!$A:$E,5,0)),"")</f>
        <v/>
      </c>
      <c r="AE56" s="37" t="str">
        <f>IFERROR(IF(VLOOKUP(A56,NRW!$A:$F,6,0)="","",VLOOKUP(A56,NRW!$A:$F,6,0)),"")</f>
        <v/>
      </c>
      <c r="AF56" s="37" t="str">
        <f>IFERROR(IF(VLOOKUP(A56,NRW!$A:$G,7,0)="","",VLOOKUP(A56,NRW!$A:$G,7,0)),"")</f>
        <v/>
      </c>
      <c r="AG56" s="37" t="str">
        <f>IFERROR(IF(OR(VLOOKUP(A56,NRW!$A:$H,8,0)="",VLOOKUP(A56,NRW!$A:$H,8,0)=0),"",VLOOKUP(A56,NRW!$A:$H,8,0)),"")</f>
        <v/>
      </c>
      <c r="AH56" s="87" t="str">
        <f>IFERROR(IF(VLOOKUP(A56,'O&amp;M score'!$A:$D,4,0)="","",VLOOKUP(A56,'O&amp;M score'!$A:$D,4,0)),"")</f>
        <v/>
      </c>
      <c r="AI56" s="87" t="str">
        <f>IFERROR(IF(VLOOKUP(A56,'O&amp;M score'!$A:$E,5,0)="","",VLOOKUP(A56,'O&amp;M score'!$A:$E,5,0)),"")</f>
        <v/>
      </c>
      <c r="AJ56" s="87" t="str">
        <f>IFERROR(IF(VLOOKUP(A56,'O&amp;M score'!$A:$F,6,0)="","",VLOOKUP(A56,'O&amp;M score'!$A:$F,6,0)),"")</f>
        <v/>
      </c>
      <c r="AK56" s="87" t="str">
        <f>IFERROR(IF(VLOOKUP(A56,'O&amp;M score'!$A:$G,7,0)="","",VLOOKUP(A56,'O&amp;M score'!$A:$G,7,0)),"")</f>
        <v/>
      </c>
      <c r="AL56" s="87" t="str">
        <f>IFERROR(IF(VLOOKUP(A56,'Metering Ratio Score'!$A:$C,3,0)="","",VLOOKUP(A56,'Metering Ratio Score'!$A:$C,3,0)),"")</f>
        <v/>
      </c>
      <c r="AM56" s="87" t="str">
        <f>IFERROR(IF(VLOOKUP(A56,'Metering Ratio Score'!$A:$D,4,0)="","",VLOOKUP(A56,'Metering Ratio Score'!$A:$D,4,0)),"")</f>
        <v/>
      </c>
      <c r="AN56" s="87" t="str">
        <f>IFERROR(IF(VLOOKUP(A56,'Metering Ratio Score'!$A:$E,5,0)="","",VLOOKUP(A56,'Metering Ratio Score'!$A:$E,5,0)),"")</f>
        <v/>
      </c>
      <c r="AO56" s="87" t="str">
        <f>IFERROR(IF(VLOOKUP(A56,'Metering Ratio Score'!$A:$F,6,0)="","",VLOOKUP(A56,'Metering Ratio Score'!$A:$F,6,0)),"")</f>
        <v/>
      </c>
      <c r="AP56" s="87" t="str">
        <f>IFERROR(IF(VLOOKUP(A56,'Grievance Addressal'!$A:$C,3,0)="","",VLOOKUP(A56,'Grievance Addressal'!$A:$C,3,0)),"")</f>
        <v/>
      </c>
      <c r="AQ56" s="87" t="str">
        <f>IFERROR(IF(VLOOKUP(A56,'Grievance Addressal'!$A:$D,4,0)="","",VLOOKUP(A56,'Grievance Addressal'!$A:$D,4,0)),"")</f>
        <v/>
      </c>
      <c r="AR56" s="87" t="str">
        <f>IFERROR(IF(VLOOKUP(A56,'Grievance Addressal'!$A:$E,5,0)="","",VLOOKUP(A56,'Grievance Addressal'!$A:$E,5,0)),"")</f>
        <v xml:space="preserve"> </v>
      </c>
      <c r="AS56" s="87" t="str">
        <f>IFERROR(IF(VLOOKUP(A56,Summary_Index!$A$5:$N$281,7,0)="","",VLOOKUP(A56,Summary_Index!$A$5:$N$281,7,0)),"")</f>
        <v/>
      </c>
      <c r="AT56" s="87" t="str">
        <f>IFERROR(IF(VLOOKUP(A56,Summary_Index!$A$5:$N$281,12,0)="","",VLOOKUP(A56,Summary_Index!$A$5:$N$281,12,0)),"")</f>
        <v/>
      </c>
      <c r="AU56" s="87" t="str">
        <f>IFERROR(IF(VLOOKUP(A56,Summary_Index!$A$5:$N$281,13,0)="","",VLOOKUP(A56,Summary_Index!$A$5:$N$281,13,0)),"")</f>
        <v/>
      </c>
      <c r="AV56" s="87" t="str">
        <f>IFERROR(IF(VLOOKUP(A56,Summary_Index!$A$5:$N$281,14,0)="","",VLOOKUP(A56,Summary_Index!$A$5:$N$281,14,0)),"")</f>
        <v/>
      </c>
    </row>
    <row r="57" spans="1:48" ht="45.6" customHeight="1" x14ac:dyDescent="0.3">
      <c r="A57" s="37">
        <f>Spatial!A57</f>
        <v>56</v>
      </c>
      <c r="B57" s="87">
        <f>Spatial!B57</f>
        <v>0</v>
      </c>
      <c r="C57" s="37">
        <f>Spatial!C57</f>
        <v>0</v>
      </c>
      <c r="D57" s="37">
        <f>Spatial!D57</f>
        <v>0</v>
      </c>
      <c r="E57" s="37">
        <f>Spatial!E57</f>
        <v>0</v>
      </c>
      <c r="F57" s="37">
        <f>Spatial!F57</f>
        <v>0</v>
      </c>
      <c r="G57" s="37">
        <f>IFERROR(Spatial!G57,"")</f>
        <v>0</v>
      </c>
      <c r="H57" s="37"/>
      <c r="I57" s="37"/>
      <c r="J57" s="37" t="str">
        <f t="shared" si="0"/>
        <v>0_0</v>
      </c>
      <c r="K57" s="37" t="str">
        <f>IFERROR(IF(VLOOKUP(A57,'Service Coverage'!$A:$C,3,0)="","",VLOOKUP(A57,'Service Coverage'!$A:$C,3,0)),"")</f>
        <v/>
      </c>
      <c r="L57" s="37" t="str">
        <f>IFERROR(IF(VLOOKUP(A57,'Service Coverage'!$A:$D,4,0)="","",VLOOKUP(A57,'Service Coverage'!$A:$D,4,0)),"")</f>
        <v/>
      </c>
      <c r="M57" s="37" t="str">
        <f>IFERROR(IF(VLOOKUP(A57,'Service Coverage'!$A:$E,5,0)="","",VLOOKUP(A57,'Service Coverage'!$A:$E,5,0)),"")</f>
        <v/>
      </c>
      <c r="N57" s="37" t="str">
        <f>IFERROR(IF(VLOOKUP(A57,'Service Coverage'!$A:$F,6,0)="","",VLOOKUP(A57,'Service Coverage'!$A:$F,6,0)),"")</f>
        <v/>
      </c>
      <c r="O57" s="37" t="str">
        <f>IFERROR(IF(VLOOKUP(A57,'Service Coverage'!$A:$G,7,0)="","",VLOOKUP(A57,'Service Coverage'!$A:$G,7,0)),"")</f>
        <v/>
      </c>
      <c r="P57" s="37" t="str">
        <f>IFERROR(IF(VLOOKUP(A57,Adequacy!$A:$C,3,0)="","",VLOOKUP(A57,Adequacy!$A:$C,3,0)),"")</f>
        <v/>
      </c>
      <c r="Q57" s="37" t="str">
        <f>IFERROR(IF(VLOOKUP(A57,Adequacy!$A:$D,4,0)="","",VLOOKUP(A57,Adequacy!$A:$D,4,0)),"")</f>
        <v/>
      </c>
      <c r="R57" s="37" t="str">
        <f>IFERROR(IF(VLOOKUP(A57,Adequacy!$A:$E,5,0)="","",VLOOKUP(A57,Adequacy!$A:$E,5,0)),"")</f>
        <v/>
      </c>
      <c r="S57" s="37" t="str">
        <f>IFERROR(IF(VLOOKUP(A57,Adequacy!$A:$G,7,0)="","",VLOOKUP(A57,Adequacy!$A:$G,7,0)),"")</f>
        <v/>
      </c>
      <c r="T57" s="37" t="str">
        <f>IFERROR(IF(VLOOKUP(A57,Adequacy!$A:$H,8,0)="","",VLOOKUP(A57,Adequacy!$A:$H,8,0)),"")</f>
        <v xml:space="preserve"> </v>
      </c>
      <c r="U57" s="37" t="str">
        <f>IFERROR(IF(VLOOKUP(A57,Adequacy!$A:$J,10,0)="","",VLOOKUP(A57,Adequacy!$A:$J,10,0)),"")</f>
        <v/>
      </c>
      <c r="V57" s="37" t="str">
        <f>IFERROR(IF(VLOOKUP(A57,'Water Quality Score'!$A:$C,3,0)="","",VLOOKUP(A57,'Water Quality Score'!$A:$C,3,0)),"")</f>
        <v/>
      </c>
      <c r="W57" s="37" t="str">
        <f>IFERROR(IF(VLOOKUP(A57,'Water Quality Score'!$A:$D,4,0)="","",VLOOKUP(A57,'Water Quality Score'!$A:$D,4,0)),"")</f>
        <v/>
      </c>
      <c r="X57" s="37" t="str">
        <f>IFERROR(IF(VLOOKUP(A57,'Water Quality Score'!$A:$E,5,0)="","",VLOOKUP(A57,'Water Quality Score'!$A:$E,5,0)),"")</f>
        <v/>
      </c>
      <c r="Y57" s="37">
        <f>IFERROR(IF(VLOOKUP(A57,'Water Quality Score'!$A:$F,6,0)="","",VLOOKUP(A57,'Water Quality Score'!$A:$F,6,0)),"")</f>
        <v>0</v>
      </c>
      <c r="Z57" s="37" t="str">
        <f>IFERROR(IF(VLOOKUP(A57,'Reliability score'!$A:$C,3,0)="","",VLOOKUP(A57,'Reliability score'!$A:$C,3,0)),"")</f>
        <v/>
      </c>
      <c r="AA57" s="37" t="str">
        <f>IFERROR(IF(VLOOKUP(A57,'Reliability score'!$A:$D,4,0)="","",VLOOKUP(A57,'Reliability score'!$A:$D,4,0)),"")</f>
        <v xml:space="preserve"> </v>
      </c>
      <c r="AB57" s="37" t="str">
        <f>IFERROR(IF(VLOOKUP(A57,NRW!$A:$C,3,0)="","",VLOOKUP(A57,NRW!$A:$C,3,0)),"")</f>
        <v/>
      </c>
      <c r="AC57" s="37" t="str">
        <f>IFERROR(IF(VLOOKUP(A57,NRW!$A:$D,4,0)="","",VLOOKUP(A57,NRW!$A:$D,4,0)),"")</f>
        <v/>
      </c>
      <c r="AD57" s="37" t="str">
        <f>IFERROR(IF(VLOOKUP(A57,NRW!$A:$E,5,0)="","",VLOOKUP(A57,NRW!$A:$E,5,0)),"")</f>
        <v/>
      </c>
      <c r="AE57" s="37" t="str">
        <f>IFERROR(IF(VLOOKUP(A57,NRW!$A:$F,6,0)="","",VLOOKUP(A57,NRW!$A:$F,6,0)),"")</f>
        <v/>
      </c>
      <c r="AF57" s="37" t="str">
        <f>IFERROR(IF(VLOOKUP(A57,NRW!$A:$G,7,0)="","",VLOOKUP(A57,NRW!$A:$G,7,0)),"")</f>
        <v/>
      </c>
      <c r="AG57" s="37" t="str">
        <f>IFERROR(IF(OR(VLOOKUP(A57,NRW!$A:$H,8,0)="",VLOOKUP(A57,NRW!$A:$H,8,0)=0),"",VLOOKUP(A57,NRW!$A:$H,8,0)),"")</f>
        <v/>
      </c>
      <c r="AH57" s="87" t="str">
        <f>IFERROR(IF(VLOOKUP(A57,'O&amp;M score'!$A:$D,4,0)="","",VLOOKUP(A57,'O&amp;M score'!$A:$D,4,0)),"")</f>
        <v/>
      </c>
      <c r="AI57" s="87" t="str">
        <f>IFERROR(IF(VLOOKUP(A57,'O&amp;M score'!$A:$E,5,0)="","",VLOOKUP(A57,'O&amp;M score'!$A:$E,5,0)),"")</f>
        <v/>
      </c>
      <c r="AJ57" s="87" t="str">
        <f>IFERROR(IF(VLOOKUP(A57,'O&amp;M score'!$A:$F,6,0)="","",VLOOKUP(A57,'O&amp;M score'!$A:$F,6,0)),"")</f>
        <v/>
      </c>
      <c r="AK57" s="87" t="str">
        <f>IFERROR(IF(VLOOKUP(A57,'O&amp;M score'!$A:$G,7,0)="","",VLOOKUP(A57,'O&amp;M score'!$A:$G,7,0)),"")</f>
        <v/>
      </c>
      <c r="AL57" s="87" t="str">
        <f>IFERROR(IF(VLOOKUP(A57,'Metering Ratio Score'!$A:$C,3,0)="","",VLOOKUP(A57,'Metering Ratio Score'!$A:$C,3,0)),"")</f>
        <v/>
      </c>
      <c r="AM57" s="87" t="str">
        <f>IFERROR(IF(VLOOKUP(A57,'Metering Ratio Score'!$A:$D,4,0)="","",VLOOKUP(A57,'Metering Ratio Score'!$A:$D,4,0)),"")</f>
        <v/>
      </c>
      <c r="AN57" s="87" t="str">
        <f>IFERROR(IF(VLOOKUP(A57,'Metering Ratio Score'!$A:$E,5,0)="","",VLOOKUP(A57,'Metering Ratio Score'!$A:$E,5,0)),"")</f>
        <v/>
      </c>
      <c r="AO57" s="87" t="str">
        <f>IFERROR(IF(VLOOKUP(A57,'Metering Ratio Score'!$A:$F,6,0)="","",VLOOKUP(A57,'Metering Ratio Score'!$A:$F,6,0)),"")</f>
        <v/>
      </c>
      <c r="AP57" s="87" t="str">
        <f>IFERROR(IF(VLOOKUP(A57,'Grievance Addressal'!$A:$C,3,0)="","",VLOOKUP(A57,'Grievance Addressal'!$A:$C,3,0)),"")</f>
        <v/>
      </c>
      <c r="AQ57" s="87" t="str">
        <f>IFERROR(IF(VLOOKUP(A57,'Grievance Addressal'!$A:$D,4,0)="","",VLOOKUP(A57,'Grievance Addressal'!$A:$D,4,0)),"")</f>
        <v/>
      </c>
      <c r="AR57" s="87" t="str">
        <f>IFERROR(IF(VLOOKUP(A57,'Grievance Addressal'!$A:$E,5,0)="","",VLOOKUP(A57,'Grievance Addressal'!$A:$E,5,0)),"")</f>
        <v xml:space="preserve"> </v>
      </c>
      <c r="AS57" s="87" t="str">
        <f>IFERROR(IF(VLOOKUP(A57,Summary_Index!$A$5:$N$281,7,0)="","",VLOOKUP(A57,Summary_Index!$A$5:$N$281,7,0)),"")</f>
        <v/>
      </c>
      <c r="AT57" s="87" t="str">
        <f>IFERROR(IF(VLOOKUP(A57,Summary_Index!$A$5:$N$281,12,0)="","",VLOOKUP(A57,Summary_Index!$A$5:$N$281,12,0)),"")</f>
        <v/>
      </c>
      <c r="AU57" s="87" t="str">
        <f>IFERROR(IF(VLOOKUP(A57,Summary_Index!$A$5:$N$281,13,0)="","",VLOOKUP(A57,Summary_Index!$A$5:$N$281,13,0)),"")</f>
        <v/>
      </c>
      <c r="AV57" s="87" t="str">
        <f>IFERROR(IF(VLOOKUP(A57,Summary_Index!$A$5:$N$281,14,0)="","",VLOOKUP(A57,Summary_Index!$A$5:$N$281,14,0)),"")</f>
        <v/>
      </c>
    </row>
    <row r="58" spans="1:48" ht="45.6" customHeight="1" x14ac:dyDescent="0.3">
      <c r="A58" s="37">
        <f>Spatial!A58</f>
        <v>57</v>
      </c>
      <c r="B58" s="87">
        <f>Spatial!B58</f>
        <v>0</v>
      </c>
      <c r="C58" s="37">
        <f>Spatial!C58</f>
        <v>0</v>
      </c>
      <c r="D58" s="37">
        <f>Spatial!D58</f>
        <v>0</v>
      </c>
      <c r="E58" s="37">
        <f>Spatial!E58</f>
        <v>0</v>
      </c>
      <c r="F58" s="37">
        <f>Spatial!F58</f>
        <v>0</v>
      </c>
      <c r="G58" s="37">
        <f>IFERROR(Spatial!G58,"")</f>
        <v>0</v>
      </c>
      <c r="H58" s="37"/>
      <c r="I58" s="37"/>
      <c r="J58" s="37" t="str">
        <f t="shared" si="0"/>
        <v>0_0</v>
      </c>
      <c r="K58" s="37" t="str">
        <f>IFERROR(IF(VLOOKUP(A58,'Service Coverage'!$A:$C,3,0)="","",VLOOKUP(A58,'Service Coverage'!$A:$C,3,0)),"")</f>
        <v/>
      </c>
      <c r="L58" s="37" t="str">
        <f>IFERROR(IF(VLOOKUP(A58,'Service Coverage'!$A:$D,4,0)="","",VLOOKUP(A58,'Service Coverage'!$A:$D,4,0)),"")</f>
        <v/>
      </c>
      <c r="M58" s="37" t="str">
        <f>IFERROR(IF(VLOOKUP(A58,'Service Coverage'!$A:$E,5,0)="","",VLOOKUP(A58,'Service Coverage'!$A:$E,5,0)),"")</f>
        <v/>
      </c>
      <c r="N58" s="37" t="str">
        <f>IFERROR(IF(VLOOKUP(A58,'Service Coverage'!$A:$F,6,0)="","",VLOOKUP(A58,'Service Coverage'!$A:$F,6,0)),"")</f>
        <v/>
      </c>
      <c r="O58" s="37" t="str">
        <f>IFERROR(IF(VLOOKUP(A58,'Service Coverage'!$A:$G,7,0)="","",VLOOKUP(A58,'Service Coverage'!$A:$G,7,0)),"")</f>
        <v/>
      </c>
      <c r="P58" s="37" t="str">
        <f>IFERROR(IF(VLOOKUP(A58,Adequacy!$A:$C,3,0)="","",VLOOKUP(A58,Adequacy!$A:$C,3,0)),"")</f>
        <v/>
      </c>
      <c r="Q58" s="37" t="str">
        <f>IFERROR(IF(VLOOKUP(A58,Adequacy!$A:$D,4,0)="","",VLOOKUP(A58,Adequacy!$A:$D,4,0)),"")</f>
        <v/>
      </c>
      <c r="R58" s="37" t="str">
        <f>IFERROR(IF(VLOOKUP(A58,Adequacy!$A:$E,5,0)="","",VLOOKUP(A58,Adequacy!$A:$E,5,0)),"")</f>
        <v/>
      </c>
      <c r="S58" s="37" t="str">
        <f>IFERROR(IF(VLOOKUP(A58,Adequacy!$A:$G,7,0)="","",VLOOKUP(A58,Adequacy!$A:$G,7,0)),"")</f>
        <v/>
      </c>
      <c r="T58" s="37" t="str">
        <f>IFERROR(IF(VLOOKUP(A58,Adequacy!$A:$H,8,0)="","",VLOOKUP(A58,Adequacy!$A:$H,8,0)),"")</f>
        <v xml:space="preserve"> </v>
      </c>
      <c r="U58" s="37" t="str">
        <f>IFERROR(IF(VLOOKUP(A58,Adequacy!$A:$J,10,0)="","",VLOOKUP(A58,Adequacy!$A:$J,10,0)),"")</f>
        <v/>
      </c>
      <c r="V58" s="37" t="str">
        <f>IFERROR(IF(VLOOKUP(A58,'Water Quality Score'!$A:$C,3,0)="","",VLOOKUP(A58,'Water Quality Score'!$A:$C,3,0)),"")</f>
        <v/>
      </c>
      <c r="W58" s="37" t="str">
        <f>IFERROR(IF(VLOOKUP(A58,'Water Quality Score'!$A:$D,4,0)="","",VLOOKUP(A58,'Water Quality Score'!$A:$D,4,0)),"")</f>
        <v/>
      </c>
      <c r="X58" s="37" t="str">
        <f>IFERROR(IF(VLOOKUP(A58,'Water Quality Score'!$A:$E,5,0)="","",VLOOKUP(A58,'Water Quality Score'!$A:$E,5,0)),"")</f>
        <v/>
      </c>
      <c r="Y58" s="37">
        <f>IFERROR(IF(VLOOKUP(A58,'Water Quality Score'!$A:$F,6,0)="","",VLOOKUP(A58,'Water Quality Score'!$A:$F,6,0)),"")</f>
        <v>0</v>
      </c>
      <c r="Z58" s="37" t="str">
        <f>IFERROR(IF(VLOOKUP(A58,'Reliability score'!$A:$C,3,0)="","",VLOOKUP(A58,'Reliability score'!$A:$C,3,0)),"")</f>
        <v/>
      </c>
      <c r="AA58" s="37" t="str">
        <f>IFERROR(IF(VLOOKUP(A58,'Reliability score'!$A:$D,4,0)="","",VLOOKUP(A58,'Reliability score'!$A:$D,4,0)),"")</f>
        <v xml:space="preserve"> </v>
      </c>
      <c r="AB58" s="37" t="str">
        <f>IFERROR(IF(VLOOKUP(A58,NRW!$A:$C,3,0)="","",VLOOKUP(A58,NRW!$A:$C,3,0)),"")</f>
        <v/>
      </c>
      <c r="AC58" s="37" t="str">
        <f>IFERROR(IF(VLOOKUP(A58,NRW!$A:$D,4,0)="","",VLOOKUP(A58,NRW!$A:$D,4,0)),"")</f>
        <v/>
      </c>
      <c r="AD58" s="37" t="str">
        <f>IFERROR(IF(VLOOKUP(A58,NRW!$A:$E,5,0)="","",VLOOKUP(A58,NRW!$A:$E,5,0)),"")</f>
        <v/>
      </c>
      <c r="AE58" s="37" t="str">
        <f>IFERROR(IF(VLOOKUP(A58,NRW!$A:$F,6,0)="","",VLOOKUP(A58,NRW!$A:$F,6,0)),"")</f>
        <v/>
      </c>
      <c r="AF58" s="37" t="str">
        <f>IFERROR(IF(VLOOKUP(A58,NRW!$A:$G,7,0)="","",VLOOKUP(A58,NRW!$A:$G,7,0)),"")</f>
        <v/>
      </c>
      <c r="AG58" s="37" t="str">
        <f>IFERROR(IF(OR(VLOOKUP(A58,NRW!$A:$H,8,0)="",VLOOKUP(A58,NRW!$A:$H,8,0)=0),"",VLOOKUP(A58,NRW!$A:$H,8,0)),"")</f>
        <v/>
      </c>
      <c r="AH58" s="87" t="str">
        <f>IFERROR(IF(VLOOKUP(A58,'O&amp;M score'!$A:$D,4,0)="","",VLOOKUP(A58,'O&amp;M score'!$A:$D,4,0)),"")</f>
        <v/>
      </c>
      <c r="AI58" s="87" t="str">
        <f>IFERROR(IF(VLOOKUP(A58,'O&amp;M score'!$A:$E,5,0)="","",VLOOKUP(A58,'O&amp;M score'!$A:$E,5,0)),"")</f>
        <v/>
      </c>
      <c r="AJ58" s="87" t="str">
        <f>IFERROR(IF(VLOOKUP(A58,'O&amp;M score'!$A:$F,6,0)="","",VLOOKUP(A58,'O&amp;M score'!$A:$F,6,0)),"")</f>
        <v/>
      </c>
      <c r="AK58" s="87" t="str">
        <f>IFERROR(IF(VLOOKUP(A58,'O&amp;M score'!$A:$G,7,0)="","",VLOOKUP(A58,'O&amp;M score'!$A:$G,7,0)),"")</f>
        <v/>
      </c>
      <c r="AL58" s="87" t="str">
        <f>IFERROR(IF(VLOOKUP(A58,'Metering Ratio Score'!$A:$C,3,0)="","",VLOOKUP(A58,'Metering Ratio Score'!$A:$C,3,0)),"")</f>
        <v/>
      </c>
      <c r="AM58" s="87" t="str">
        <f>IFERROR(IF(VLOOKUP(A58,'Metering Ratio Score'!$A:$D,4,0)="","",VLOOKUP(A58,'Metering Ratio Score'!$A:$D,4,0)),"")</f>
        <v/>
      </c>
      <c r="AN58" s="87" t="str">
        <f>IFERROR(IF(VLOOKUP(A58,'Metering Ratio Score'!$A:$E,5,0)="","",VLOOKUP(A58,'Metering Ratio Score'!$A:$E,5,0)),"")</f>
        <v/>
      </c>
      <c r="AO58" s="87" t="str">
        <f>IFERROR(IF(VLOOKUP(A58,'Metering Ratio Score'!$A:$F,6,0)="","",VLOOKUP(A58,'Metering Ratio Score'!$A:$F,6,0)),"")</f>
        <v/>
      </c>
      <c r="AP58" s="87" t="str">
        <f>IFERROR(IF(VLOOKUP(A58,'Grievance Addressal'!$A:$C,3,0)="","",VLOOKUP(A58,'Grievance Addressal'!$A:$C,3,0)),"")</f>
        <v/>
      </c>
      <c r="AQ58" s="87" t="str">
        <f>IFERROR(IF(VLOOKUP(A58,'Grievance Addressal'!$A:$D,4,0)="","",VLOOKUP(A58,'Grievance Addressal'!$A:$D,4,0)),"")</f>
        <v/>
      </c>
      <c r="AR58" s="87" t="str">
        <f>IFERROR(IF(VLOOKUP(A58,'Grievance Addressal'!$A:$E,5,0)="","",VLOOKUP(A58,'Grievance Addressal'!$A:$E,5,0)),"")</f>
        <v xml:space="preserve"> </v>
      </c>
      <c r="AS58" s="87" t="str">
        <f>IFERROR(IF(VLOOKUP(A58,Summary_Index!$A$5:$N$281,7,0)="","",VLOOKUP(A58,Summary_Index!$A$5:$N$281,7,0)),"")</f>
        <v/>
      </c>
      <c r="AT58" s="87" t="str">
        <f>IFERROR(IF(VLOOKUP(A58,Summary_Index!$A$5:$N$281,12,0)="","",VLOOKUP(A58,Summary_Index!$A$5:$N$281,12,0)),"")</f>
        <v/>
      </c>
      <c r="AU58" s="87" t="str">
        <f>IFERROR(IF(VLOOKUP(A58,Summary_Index!$A$5:$N$281,13,0)="","",VLOOKUP(A58,Summary_Index!$A$5:$N$281,13,0)),"")</f>
        <v/>
      </c>
      <c r="AV58" s="87" t="str">
        <f>IFERROR(IF(VLOOKUP(A58,Summary_Index!$A$5:$N$281,14,0)="","",VLOOKUP(A58,Summary_Index!$A$5:$N$281,14,0)),"")</f>
        <v/>
      </c>
    </row>
    <row r="59" spans="1:48" ht="45.6" customHeight="1" x14ac:dyDescent="0.3">
      <c r="A59" s="37">
        <f>Spatial!A59</f>
        <v>58</v>
      </c>
      <c r="B59" s="87">
        <f>Spatial!B59</f>
        <v>0</v>
      </c>
      <c r="C59" s="37">
        <f>Spatial!C59</f>
        <v>0</v>
      </c>
      <c r="D59" s="37">
        <f>Spatial!D59</f>
        <v>0</v>
      </c>
      <c r="E59" s="37">
        <f>Spatial!E59</f>
        <v>0</v>
      </c>
      <c r="F59" s="37">
        <f>Spatial!F59</f>
        <v>0</v>
      </c>
      <c r="G59" s="37">
        <f>IFERROR(Spatial!G59,"")</f>
        <v>0</v>
      </c>
      <c r="H59" s="37"/>
      <c r="I59" s="37"/>
      <c r="J59" s="37" t="str">
        <f t="shared" si="0"/>
        <v>0_0</v>
      </c>
      <c r="K59" s="37" t="str">
        <f>IFERROR(IF(VLOOKUP(A59,'Service Coverage'!$A:$C,3,0)="","",VLOOKUP(A59,'Service Coverage'!$A:$C,3,0)),"")</f>
        <v/>
      </c>
      <c r="L59" s="37" t="str">
        <f>IFERROR(IF(VLOOKUP(A59,'Service Coverage'!$A:$D,4,0)="","",VLOOKUP(A59,'Service Coverage'!$A:$D,4,0)),"")</f>
        <v/>
      </c>
      <c r="M59" s="37" t="str">
        <f>IFERROR(IF(VLOOKUP(A59,'Service Coverage'!$A:$E,5,0)="","",VLOOKUP(A59,'Service Coverage'!$A:$E,5,0)),"")</f>
        <v/>
      </c>
      <c r="N59" s="37" t="str">
        <f>IFERROR(IF(VLOOKUP(A59,'Service Coverage'!$A:$F,6,0)="","",VLOOKUP(A59,'Service Coverage'!$A:$F,6,0)),"")</f>
        <v/>
      </c>
      <c r="O59" s="37" t="str">
        <f>IFERROR(IF(VLOOKUP(A59,'Service Coverage'!$A:$G,7,0)="","",VLOOKUP(A59,'Service Coverage'!$A:$G,7,0)),"")</f>
        <v/>
      </c>
      <c r="P59" s="37" t="str">
        <f>IFERROR(IF(VLOOKUP(A59,Adequacy!$A:$C,3,0)="","",VLOOKUP(A59,Adequacy!$A:$C,3,0)),"")</f>
        <v/>
      </c>
      <c r="Q59" s="37" t="str">
        <f>IFERROR(IF(VLOOKUP(A59,Adequacy!$A:$D,4,0)="","",VLOOKUP(A59,Adequacy!$A:$D,4,0)),"")</f>
        <v/>
      </c>
      <c r="R59" s="37" t="str">
        <f>IFERROR(IF(VLOOKUP(A59,Adequacy!$A:$E,5,0)="","",VLOOKUP(A59,Adequacy!$A:$E,5,0)),"")</f>
        <v/>
      </c>
      <c r="S59" s="37" t="str">
        <f>IFERROR(IF(VLOOKUP(A59,Adequacy!$A:$G,7,0)="","",VLOOKUP(A59,Adequacy!$A:$G,7,0)),"")</f>
        <v/>
      </c>
      <c r="T59" s="37" t="str">
        <f>IFERROR(IF(VLOOKUP(A59,Adequacy!$A:$H,8,0)="","",VLOOKUP(A59,Adequacy!$A:$H,8,0)),"")</f>
        <v xml:space="preserve"> </v>
      </c>
      <c r="U59" s="37" t="str">
        <f>IFERROR(IF(VLOOKUP(A59,Adequacy!$A:$J,10,0)="","",VLOOKUP(A59,Adequacy!$A:$J,10,0)),"")</f>
        <v/>
      </c>
      <c r="V59" s="37" t="str">
        <f>IFERROR(IF(VLOOKUP(A59,'Water Quality Score'!$A:$C,3,0)="","",VLOOKUP(A59,'Water Quality Score'!$A:$C,3,0)),"")</f>
        <v/>
      </c>
      <c r="W59" s="37" t="str">
        <f>IFERROR(IF(VLOOKUP(A59,'Water Quality Score'!$A:$D,4,0)="","",VLOOKUP(A59,'Water Quality Score'!$A:$D,4,0)),"")</f>
        <v/>
      </c>
      <c r="X59" s="37" t="str">
        <f>IFERROR(IF(VLOOKUP(A59,'Water Quality Score'!$A:$E,5,0)="","",VLOOKUP(A59,'Water Quality Score'!$A:$E,5,0)),"")</f>
        <v/>
      </c>
      <c r="Y59" s="37">
        <f>IFERROR(IF(VLOOKUP(A59,'Water Quality Score'!$A:$F,6,0)="","",VLOOKUP(A59,'Water Quality Score'!$A:$F,6,0)),"")</f>
        <v>0</v>
      </c>
      <c r="Z59" s="37" t="str">
        <f>IFERROR(IF(VLOOKUP(A59,'Reliability score'!$A:$C,3,0)="","",VLOOKUP(A59,'Reliability score'!$A:$C,3,0)),"")</f>
        <v/>
      </c>
      <c r="AA59" s="37" t="str">
        <f>IFERROR(IF(VLOOKUP(A59,'Reliability score'!$A:$D,4,0)="","",VLOOKUP(A59,'Reliability score'!$A:$D,4,0)),"")</f>
        <v xml:space="preserve"> </v>
      </c>
      <c r="AB59" s="37" t="str">
        <f>IFERROR(IF(VLOOKUP(A59,NRW!$A:$C,3,0)="","",VLOOKUP(A59,NRW!$A:$C,3,0)),"")</f>
        <v/>
      </c>
      <c r="AC59" s="37" t="str">
        <f>IFERROR(IF(VLOOKUP(A59,NRW!$A:$D,4,0)="","",VLOOKUP(A59,NRW!$A:$D,4,0)),"")</f>
        <v/>
      </c>
      <c r="AD59" s="37" t="str">
        <f>IFERROR(IF(VLOOKUP(A59,NRW!$A:$E,5,0)="","",VLOOKUP(A59,NRW!$A:$E,5,0)),"")</f>
        <v/>
      </c>
      <c r="AE59" s="37" t="str">
        <f>IFERROR(IF(VLOOKUP(A59,NRW!$A:$F,6,0)="","",VLOOKUP(A59,NRW!$A:$F,6,0)),"")</f>
        <v/>
      </c>
      <c r="AF59" s="37" t="str">
        <f>IFERROR(IF(VLOOKUP(A59,NRW!$A:$G,7,0)="","",VLOOKUP(A59,NRW!$A:$G,7,0)),"")</f>
        <v/>
      </c>
      <c r="AG59" s="37" t="str">
        <f>IFERROR(IF(OR(VLOOKUP(A59,NRW!$A:$H,8,0)="",VLOOKUP(A59,NRW!$A:$H,8,0)=0),"",VLOOKUP(A59,NRW!$A:$H,8,0)),"")</f>
        <v/>
      </c>
      <c r="AH59" s="87" t="str">
        <f>IFERROR(IF(VLOOKUP(A59,'O&amp;M score'!$A:$D,4,0)="","",VLOOKUP(A59,'O&amp;M score'!$A:$D,4,0)),"")</f>
        <v/>
      </c>
      <c r="AI59" s="87" t="str">
        <f>IFERROR(IF(VLOOKUP(A59,'O&amp;M score'!$A:$E,5,0)="","",VLOOKUP(A59,'O&amp;M score'!$A:$E,5,0)),"")</f>
        <v/>
      </c>
      <c r="AJ59" s="87" t="str">
        <f>IFERROR(IF(VLOOKUP(A59,'O&amp;M score'!$A:$F,6,0)="","",VLOOKUP(A59,'O&amp;M score'!$A:$F,6,0)),"")</f>
        <v/>
      </c>
      <c r="AK59" s="87" t="str">
        <f>IFERROR(IF(VLOOKUP(A59,'O&amp;M score'!$A:$G,7,0)="","",VLOOKUP(A59,'O&amp;M score'!$A:$G,7,0)),"")</f>
        <v/>
      </c>
      <c r="AL59" s="87" t="str">
        <f>IFERROR(IF(VLOOKUP(A59,'Metering Ratio Score'!$A:$C,3,0)="","",VLOOKUP(A59,'Metering Ratio Score'!$A:$C,3,0)),"")</f>
        <v/>
      </c>
      <c r="AM59" s="87" t="str">
        <f>IFERROR(IF(VLOOKUP(A59,'Metering Ratio Score'!$A:$D,4,0)="","",VLOOKUP(A59,'Metering Ratio Score'!$A:$D,4,0)),"")</f>
        <v/>
      </c>
      <c r="AN59" s="87" t="str">
        <f>IFERROR(IF(VLOOKUP(A59,'Metering Ratio Score'!$A:$E,5,0)="","",VLOOKUP(A59,'Metering Ratio Score'!$A:$E,5,0)),"")</f>
        <v/>
      </c>
      <c r="AO59" s="87" t="str">
        <f>IFERROR(IF(VLOOKUP(A59,'Metering Ratio Score'!$A:$F,6,0)="","",VLOOKUP(A59,'Metering Ratio Score'!$A:$F,6,0)),"")</f>
        <v/>
      </c>
      <c r="AP59" s="87" t="str">
        <f>IFERROR(IF(VLOOKUP(A59,'Grievance Addressal'!$A:$C,3,0)="","",VLOOKUP(A59,'Grievance Addressal'!$A:$C,3,0)),"")</f>
        <v/>
      </c>
      <c r="AQ59" s="87" t="str">
        <f>IFERROR(IF(VLOOKUP(A59,'Grievance Addressal'!$A:$D,4,0)="","",VLOOKUP(A59,'Grievance Addressal'!$A:$D,4,0)),"")</f>
        <v/>
      </c>
      <c r="AR59" s="87" t="str">
        <f>IFERROR(IF(VLOOKUP(A59,'Grievance Addressal'!$A:$E,5,0)="","",VLOOKUP(A59,'Grievance Addressal'!$A:$E,5,0)),"")</f>
        <v xml:space="preserve"> </v>
      </c>
      <c r="AS59" s="87" t="str">
        <f>IFERROR(IF(VLOOKUP(A59,Summary_Index!$A$5:$N$281,7,0)="","",VLOOKUP(A59,Summary_Index!$A$5:$N$281,7,0)),"")</f>
        <v/>
      </c>
      <c r="AT59" s="87" t="str">
        <f>IFERROR(IF(VLOOKUP(A59,Summary_Index!$A$5:$N$281,12,0)="","",VLOOKUP(A59,Summary_Index!$A$5:$N$281,12,0)),"")</f>
        <v/>
      </c>
      <c r="AU59" s="87" t="str">
        <f>IFERROR(IF(VLOOKUP(A59,Summary_Index!$A$5:$N$281,13,0)="","",VLOOKUP(A59,Summary_Index!$A$5:$N$281,13,0)),"")</f>
        <v/>
      </c>
      <c r="AV59" s="87" t="str">
        <f>IFERROR(IF(VLOOKUP(A59,Summary_Index!$A$5:$N$281,14,0)="","",VLOOKUP(A59,Summary_Index!$A$5:$N$281,14,0)),"")</f>
        <v/>
      </c>
    </row>
    <row r="60" spans="1:48" ht="45.6" customHeight="1" x14ac:dyDescent="0.3">
      <c r="A60" s="37">
        <f>Spatial!A60</f>
        <v>59</v>
      </c>
      <c r="B60" s="87">
        <f>Spatial!B60</f>
        <v>0</v>
      </c>
      <c r="C60" s="37">
        <f>Spatial!C60</f>
        <v>0</v>
      </c>
      <c r="D60" s="37">
        <f>Spatial!D60</f>
        <v>0</v>
      </c>
      <c r="E60" s="37">
        <f>Spatial!E60</f>
        <v>0</v>
      </c>
      <c r="F60" s="37">
        <f>Spatial!F60</f>
        <v>0</v>
      </c>
      <c r="G60" s="37">
        <f>IFERROR(Spatial!G60,"")</f>
        <v>0</v>
      </c>
      <c r="H60" s="37"/>
      <c r="I60" s="37"/>
      <c r="J60" s="37" t="str">
        <f t="shared" si="0"/>
        <v>0_0</v>
      </c>
      <c r="K60" s="37" t="str">
        <f>IFERROR(IF(VLOOKUP(A60,'Service Coverage'!$A:$C,3,0)="","",VLOOKUP(A60,'Service Coverage'!$A:$C,3,0)),"")</f>
        <v/>
      </c>
      <c r="L60" s="37" t="str">
        <f>IFERROR(IF(VLOOKUP(A60,'Service Coverage'!$A:$D,4,0)="","",VLOOKUP(A60,'Service Coverage'!$A:$D,4,0)),"")</f>
        <v/>
      </c>
      <c r="M60" s="37" t="str">
        <f>IFERROR(IF(VLOOKUP(A60,'Service Coverage'!$A:$E,5,0)="","",VLOOKUP(A60,'Service Coverage'!$A:$E,5,0)),"")</f>
        <v/>
      </c>
      <c r="N60" s="37" t="str">
        <f>IFERROR(IF(VLOOKUP(A60,'Service Coverage'!$A:$F,6,0)="","",VLOOKUP(A60,'Service Coverage'!$A:$F,6,0)),"")</f>
        <v/>
      </c>
      <c r="O60" s="37" t="str">
        <f>IFERROR(IF(VLOOKUP(A60,'Service Coverage'!$A:$G,7,0)="","",VLOOKUP(A60,'Service Coverage'!$A:$G,7,0)),"")</f>
        <v/>
      </c>
      <c r="P60" s="37" t="str">
        <f>IFERROR(IF(VLOOKUP(A60,Adequacy!$A:$C,3,0)="","",VLOOKUP(A60,Adequacy!$A:$C,3,0)),"")</f>
        <v/>
      </c>
      <c r="Q60" s="37" t="str">
        <f>IFERROR(IF(VLOOKUP(A60,Adequacy!$A:$D,4,0)="","",VLOOKUP(A60,Adequacy!$A:$D,4,0)),"")</f>
        <v/>
      </c>
      <c r="R60" s="37" t="str">
        <f>IFERROR(IF(VLOOKUP(A60,Adequacy!$A:$E,5,0)="","",VLOOKUP(A60,Adequacy!$A:$E,5,0)),"")</f>
        <v/>
      </c>
      <c r="S60" s="37" t="str">
        <f>IFERROR(IF(VLOOKUP(A60,Adequacy!$A:$G,7,0)="","",VLOOKUP(A60,Adequacy!$A:$G,7,0)),"")</f>
        <v/>
      </c>
      <c r="T60" s="37" t="str">
        <f>IFERROR(IF(VLOOKUP(A60,Adequacy!$A:$H,8,0)="","",VLOOKUP(A60,Adequacy!$A:$H,8,0)),"")</f>
        <v xml:space="preserve"> </v>
      </c>
      <c r="U60" s="37" t="str">
        <f>IFERROR(IF(VLOOKUP(A60,Adequacy!$A:$J,10,0)="","",VLOOKUP(A60,Adequacy!$A:$J,10,0)),"")</f>
        <v/>
      </c>
      <c r="V60" s="37" t="str">
        <f>IFERROR(IF(VLOOKUP(A60,'Water Quality Score'!$A:$C,3,0)="","",VLOOKUP(A60,'Water Quality Score'!$A:$C,3,0)),"")</f>
        <v/>
      </c>
      <c r="W60" s="37" t="str">
        <f>IFERROR(IF(VLOOKUP(A60,'Water Quality Score'!$A:$D,4,0)="","",VLOOKUP(A60,'Water Quality Score'!$A:$D,4,0)),"")</f>
        <v/>
      </c>
      <c r="X60" s="37" t="str">
        <f>IFERROR(IF(VLOOKUP(A60,'Water Quality Score'!$A:$E,5,0)="","",VLOOKUP(A60,'Water Quality Score'!$A:$E,5,0)),"")</f>
        <v/>
      </c>
      <c r="Y60" s="37">
        <f>IFERROR(IF(VLOOKUP(A60,'Water Quality Score'!$A:$F,6,0)="","",VLOOKUP(A60,'Water Quality Score'!$A:$F,6,0)),"")</f>
        <v>0</v>
      </c>
      <c r="Z60" s="37" t="str">
        <f>IFERROR(IF(VLOOKUP(A60,'Reliability score'!$A:$C,3,0)="","",VLOOKUP(A60,'Reliability score'!$A:$C,3,0)),"")</f>
        <v/>
      </c>
      <c r="AA60" s="37" t="str">
        <f>IFERROR(IF(VLOOKUP(A60,'Reliability score'!$A:$D,4,0)="","",VLOOKUP(A60,'Reliability score'!$A:$D,4,0)),"")</f>
        <v xml:space="preserve"> </v>
      </c>
      <c r="AB60" s="37" t="str">
        <f>IFERROR(IF(VLOOKUP(A60,NRW!$A:$C,3,0)="","",VLOOKUP(A60,NRW!$A:$C,3,0)),"")</f>
        <v/>
      </c>
      <c r="AC60" s="37" t="str">
        <f>IFERROR(IF(VLOOKUP(A60,NRW!$A:$D,4,0)="","",VLOOKUP(A60,NRW!$A:$D,4,0)),"")</f>
        <v/>
      </c>
      <c r="AD60" s="37" t="str">
        <f>IFERROR(IF(VLOOKUP(A60,NRW!$A:$E,5,0)="","",VLOOKUP(A60,NRW!$A:$E,5,0)),"")</f>
        <v/>
      </c>
      <c r="AE60" s="37" t="str">
        <f>IFERROR(IF(VLOOKUP(A60,NRW!$A:$F,6,0)="","",VLOOKUP(A60,NRW!$A:$F,6,0)),"")</f>
        <v/>
      </c>
      <c r="AF60" s="37" t="str">
        <f>IFERROR(IF(VLOOKUP(A60,NRW!$A:$G,7,0)="","",VLOOKUP(A60,NRW!$A:$G,7,0)),"")</f>
        <v/>
      </c>
      <c r="AG60" s="37" t="str">
        <f>IFERROR(IF(OR(VLOOKUP(A60,NRW!$A:$H,8,0)="",VLOOKUP(A60,NRW!$A:$H,8,0)=0),"",VLOOKUP(A60,NRW!$A:$H,8,0)),"")</f>
        <v/>
      </c>
      <c r="AH60" s="87" t="str">
        <f>IFERROR(IF(VLOOKUP(A60,'O&amp;M score'!$A:$D,4,0)="","",VLOOKUP(A60,'O&amp;M score'!$A:$D,4,0)),"")</f>
        <v/>
      </c>
      <c r="AI60" s="87" t="str">
        <f>IFERROR(IF(VLOOKUP(A60,'O&amp;M score'!$A:$E,5,0)="","",VLOOKUP(A60,'O&amp;M score'!$A:$E,5,0)),"")</f>
        <v/>
      </c>
      <c r="AJ60" s="87" t="str">
        <f>IFERROR(IF(VLOOKUP(A60,'O&amp;M score'!$A:$F,6,0)="","",VLOOKUP(A60,'O&amp;M score'!$A:$F,6,0)),"")</f>
        <v/>
      </c>
      <c r="AK60" s="87" t="str">
        <f>IFERROR(IF(VLOOKUP(A60,'O&amp;M score'!$A:$G,7,0)="","",VLOOKUP(A60,'O&amp;M score'!$A:$G,7,0)),"")</f>
        <v/>
      </c>
      <c r="AL60" s="87" t="str">
        <f>IFERROR(IF(VLOOKUP(A60,'Metering Ratio Score'!$A:$C,3,0)="","",VLOOKUP(A60,'Metering Ratio Score'!$A:$C,3,0)),"")</f>
        <v/>
      </c>
      <c r="AM60" s="87" t="str">
        <f>IFERROR(IF(VLOOKUP(A60,'Metering Ratio Score'!$A:$D,4,0)="","",VLOOKUP(A60,'Metering Ratio Score'!$A:$D,4,0)),"")</f>
        <v/>
      </c>
      <c r="AN60" s="87" t="str">
        <f>IFERROR(IF(VLOOKUP(A60,'Metering Ratio Score'!$A:$E,5,0)="","",VLOOKUP(A60,'Metering Ratio Score'!$A:$E,5,0)),"")</f>
        <v/>
      </c>
      <c r="AO60" s="87" t="str">
        <f>IFERROR(IF(VLOOKUP(A60,'Metering Ratio Score'!$A:$F,6,0)="","",VLOOKUP(A60,'Metering Ratio Score'!$A:$F,6,0)),"")</f>
        <v/>
      </c>
      <c r="AP60" s="87" t="str">
        <f>IFERROR(IF(VLOOKUP(A60,'Grievance Addressal'!$A:$C,3,0)="","",VLOOKUP(A60,'Grievance Addressal'!$A:$C,3,0)),"")</f>
        <v/>
      </c>
      <c r="AQ60" s="87" t="str">
        <f>IFERROR(IF(VLOOKUP(A60,'Grievance Addressal'!$A:$D,4,0)="","",VLOOKUP(A60,'Grievance Addressal'!$A:$D,4,0)),"")</f>
        <v/>
      </c>
      <c r="AR60" s="87" t="str">
        <f>IFERROR(IF(VLOOKUP(A60,'Grievance Addressal'!$A:$E,5,0)="","",VLOOKUP(A60,'Grievance Addressal'!$A:$E,5,0)),"")</f>
        <v xml:space="preserve"> </v>
      </c>
      <c r="AS60" s="87" t="str">
        <f>IFERROR(IF(VLOOKUP(A60,Summary_Index!$A$5:$N$281,7,0)="","",VLOOKUP(A60,Summary_Index!$A$5:$N$281,7,0)),"")</f>
        <v/>
      </c>
      <c r="AT60" s="87" t="str">
        <f>IFERROR(IF(VLOOKUP(A60,Summary_Index!$A$5:$N$281,12,0)="","",VLOOKUP(A60,Summary_Index!$A$5:$N$281,12,0)),"")</f>
        <v/>
      </c>
      <c r="AU60" s="87" t="str">
        <f>IFERROR(IF(VLOOKUP(A60,Summary_Index!$A$5:$N$281,13,0)="","",VLOOKUP(A60,Summary_Index!$A$5:$N$281,13,0)),"")</f>
        <v/>
      </c>
      <c r="AV60" s="87" t="str">
        <f>IFERROR(IF(VLOOKUP(A60,Summary_Index!$A$5:$N$281,14,0)="","",VLOOKUP(A60,Summary_Index!$A$5:$N$281,14,0)),"")</f>
        <v/>
      </c>
    </row>
    <row r="61" spans="1:48" ht="45.6" customHeight="1" x14ac:dyDescent="0.3">
      <c r="A61" s="37">
        <f>Spatial!A61</f>
        <v>60</v>
      </c>
      <c r="B61" s="87">
        <f>Spatial!B61</f>
        <v>0</v>
      </c>
      <c r="C61" s="37">
        <f>Spatial!C61</f>
        <v>0</v>
      </c>
      <c r="D61" s="37">
        <f>Spatial!D61</f>
        <v>0</v>
      </c>
      <c r="E61" s="37">
        <f>Spatial!E61</f>
        <v>0</v>
      </c>
      <c r="F61" s="37">
        <f>Spatial!F61</f>
        <v>0</v>
      </c>
      <c r="G61" s="37">
        <f>IFERROR(Spatial!G61,"")</f>
        <v>0</v>
      </c>
      <c r="H61" s="37"/>
      <c r="I61" s="37"/>
      <c r="J61" s="37" t="str">
        <f t="shared" si="0"/>
        <v>0_0</v>
      </c>
      <c r="K61" s="37" t="str">
        <f>IFERROR(IF(VLOOKUP(A61,'Service Coverage'!$A:$C,3,0)="","",VLOOKUP(A61,'Service Coverage'!$A:$C,3,0)),"")</f>
        <v/>
      </c>
      <c r="L61" s="37" t="str">
        <f>IFERROR(IF(VLOOKUP(A61,'Service Coverage'!$A:$D,4,0)="","",VLOOKUP(A61,'Service Coverage'!$A:$D,4,0)),"")</f>
        <v/>
      </c>
      <c r="M61" s="37" t="str">
        <f>IFERROR(IF(VLOOKUP(A61,'Service Coverage'!$A:$E,5,0)="","",VLOOKUP(A61,'Service Coverage'!$A:$E,5,0)),"")</f>
        <v/>
      </c>
      <c r="N61" s="37" t="str">
        <f>IFERROR(IF(VLOOKUP(A61,'Service Coverage'!$A:$F,6,0)="","",VLOOKUP(A61,'Service Coverage'!$A:$F,6,0)),"")</f>
        <v/>
      </c>
      <c r="O61" s="37" t="str">
        <f>IFERROR(IF(VLOOKUP(A61,'Service Coverage'!$A:$G,7,0)="","",VLOOKUP(A61,'Service Coverage'!$A:$G,7,0)),"")</f>
        <v/>
      </c>
      <c r="P61" s="37" t="str">
        <f>IFERROR(IF(VLOOKUP(A61,Adequacy!$A:$C,3,0)="","",VLOOKUP(A61,Adequacy!$A:$C,3,0)),"")</f>
        <v/>
      </c>
      <c r="Q61" s="37" t="str">
        <f>IFERROR(IF(VLOOKUP(A61,Adequacy!$A:$D,4,0)="","",VLOOKUP(A61,Adequacy!$A:$D,4,0)),"")</f>
        <v/>
      </c>
      <c r="R61" s="37" t="str">
        <f>IFERROR(IF(VLOOKUP(A61,Adequacy!$A:$E,5,0)="","",VLOOKUP(A61,Adequacy!$A:$E,5,0)),"")</f>
        <v/>
      </c>
      <c r="S61" s="37" t="str">
        <f>IFERROR(IF(VLOOKUP(A61,Adequacy!$A:$G,7,0)="","",VLOOKUP(A61,Adequacy!$A:$G,7,0)),"")</f>
        <v/>
      </c>
      <c r="T61" s="37" t="str">
        <f>IFERROR(IF(VLOOKUP(A61,Adequacy!$A:$H,8,0)="","",VLOOKUP(A61,Adequacy!$A:$H,8,0)),"")</f>
        <v xml:space="preserve"> </v>
      </c>
      <c r="U61" s="37" t="str">
        <f>IFERROR(IF(VLOOKUP(A61,Adequacy!$A:$J,10,0)="","",VLOOKUP(A61,Adequacy!$A:$J,10,0)),"")</f>
        <v/>
      </c>
      <c r="V61" s="37" t="str">
        <f>IFERROR(IF(VLOOKUP(A61,'Water Quality Score'!$A:$C,3,0)="","",VLOOKUP(A61,'Water Quality Score'!$A:$C,3,0)),"")</f>
        <v/>
      </c>
      <c r="W61" s="37" t="str">
        <f>IFERROR(IF(VLOOKUP(A61,'Water Quality Score'!$A:$D,4,0)="","",VLOOKUP(A61,'Water Quality Score'!$A:$D,4,0)),"")</f>
        <v/>
      </c>
      <c r="X61" s="37" t="str">
        <f>IFERROR(IF(VLOOKUP(A61,'Water Quality Score'!$A:$E,5,0)="","",VLOOKUP(A61,'Water Quality Score'!$A:$E,5,0)),"")</f>
        <v/>
      </c>
      <c r="Y61" s="37">
        <f>IFERROR(IF(VLOOKUP(A61,'Water Quality Score'!$A:$F,6,0)="","",VLOOKUP(A61,'Water Quality Score'!$A:$F,6,0)),"")</f>
        <v>0</v>
      </c>
      <c r="Z61" s="37" t="str">
        <f>IFERROR(IF(VLOOKUP(A61,'Reliability score'!$A:$C,3,0)="","",VLOOKUP(A61,'Reliability score'!$A:$C,3,0)),"")</f>
        <v/>
      </c>
      <c r="AA61" s="37" t="str">
        <f>IFERROR(IF(VLOOKUP(A61,'Reliability score'!$A:$D,4,0)="","",VLOOKUP(A61,'Reliability score'!$A:$D,4,0)),"")</f>
        <v xml:space="preserve"> </v>
      </c>
      <c r="AB61" s="37" t="str">
        <f>IFERROR(IF(VLOOKUP(A61,NRW!$A:$C,3,0)="","",VLOOKUP(A61,NRW!$A:$C,3,0)),"")</f>
        <v/>
      </c>
      <c r="AC61" s="37" t="str">
        <f>IFERROR(IF(VLOOKUP(A61,NRW!$A:$D,4,0)="","",VLOOKUP(A61,NRW!$A:$D,4,0)),"")</f>
        <v/>
      </c>
      <c r="AD61" s="37" t="str">
        <f>IFERROR(IF(VLOOKUP(A61,NRW!$A:$E,5,0)="","",VLOOKUP(A61,NRW!$A:$E,5,0)),"")</f>
        <v/>
      </c>
      <c r="AE61" s="37" t="str">
        <f>IFERROR(IF(VLOOKUP(A61,NRW!$A:$F,6,0)="","",VLOOKUP(A61,NRW!$A:$F,6,0)),"")</f>
        <v/>
      </c>
      <c r="AF61" s="37" t="str">
        <f>IFERROR(IF(VLOOKUP(A61,NRW!$A:$G,7,0)="","",VLOOKUP(A61,NRW!$A:$G,7,0)),"")</f>
        <v/>
      </c>
      <c r="AG61" s="37" t="str">
        <f>IFERROR(IF(OR(VLOOKUP(A61,NRW!$A:$H,8,0)="",VLOOKUP(A61,NRW!$A:$H,8,0)=0),"",VLOOKUP(A61,NRW!$A:$H,8,0)),"")</f>
        <v/>
      </c>
      <c r="AH61" s="87" t="str">
        <f>IFERROR(IF(VLOOKUP(A61,'O&amp;M score'!$A:$D,4,0)="","",VLOOKUP(A61,'O&amp;M score'!$A:$D,4,0)),"")</f>
        <v/>
      </c>
      <c r="AI61" s="87" t="str">
        <f>IFERROR(IF(VLOOKUP(A61,'O&amp;M score'!$A:$E,5,0)="","",VLOOKUP(A61,'O&amp;M score'!$A:$E,5,0)),"")</f>
        <v/>
      </c>
      <c r="AJ61" s="87" t="str">
        <f>IFERROR(IF(VLOOKUP(A61,'O&amp;M score'!$A:$F,6,0)="","",VLOOKUP(A61,'O&amp;M score'!$A:$F,6,0)),"")</f>
        <v/>
      </c>
      <c r="AK61" s="87" t="str">
        <f>IFERROR(IF(VLOOKUP(A61,'O&amp;M score'!$A:$G,7,0)="","",VLOOKUP(A61,'O&amp;M score'!$A:$G,7,0)),"")</f>
        <v/>
      </c>
      <c r="AL61" s="87" t="str">
        <f>IFERROR(IF(VLOOKUP(A61,'Metering Ratio Score'!$A:$C,3,0)="","",VLOOKUP(A61,'Metering Ratio Score'!$A:$C,3,0)),"")</f>
        <v/>
      </c>
      <c r="AM61" s="87" t="str">
        <f>IFERROR(IF(VLOOKUP(A61,'Metering Ratio Score'!$A:$D,4,0)="","",VLOOKUP(A61,'Metering Ratio Score'!$A:$D,4,0)),"")</f>
        <v/>
      </c>
      <c r="AN61" s="87" t="str">
        <f>IFERROR(IF(VLOOKUP(A61,'Metering Ratio Score'!$A:$E,5,0)="","",VLOOKUP(A61,'Metering Ratio Score'!$A:$E,5,0)),"")</f>
        <v/>
      </c>
      <c r="AO61" s="87" t="str">
        <f>IFERROR(IF(VLOOKUP(A61,'Metering Ratio Score'!$A:$F,6,0)="","",VLOOKUP(A61,'Metering Ratio Score'!$A:$F,6,0)),"")</f>
        <v/>
      </c>
      <c r="AP61" s="87" t="str">
        <f>IFERROR(IF(VLOOKUP(A61,'Grievance Addressal'!$A:$C,3,0)="","",VLOOKUP(A61,'Grievance Addressal'!$A:$C,3,0)),"")</f>
        <v/>
      </c>
      <c r="AQ61" s="87" t="str">
        <f>IFERROR(IF(VLOOKUP(A61,'Grievance Addressal'!$A:$D,4,0)="","",VLOOKUP(A61,'Grievance Addressal'!$A:$D,4,0)),"")</f>
        <v/>
      </c>
      <c r="AR61" s="87" t="str">
        <f>IFERROR(IF(VLOOKUP(A61,'Grievance Addressal'!$A:$E,5,0)="","",VLOOKUP(A61,'Grievance Addressal'!$A:$E,5,0)),"")</f>
        <v xml:space="preserve"> </v>
      </c>
      <c r="AS61" s="87" t="str">
        <f>IFERROR(IF(VLOOKUP(A61,Summary_Index!$A$5:$N$281,7,0)="","",VLOOKUP(A61,Summary_Index!$A$5:$N$281,7,0)),"")</f>
        <v/>
      </c>
      <c r="AT61" s="87" t="str">
        <f>IFERROR(IF(VLOOKUP(A61,Summary_Index!$A$5:$N$281,12,0)="","",VLOOKUP(A61,Summary_Index!$A$5:$N$281,12,0)),"")</f>
        <v/>
      </c>
      <c r="AU61" s="87" t="str">
        <f>IFERROR(IF(VLOOKUP(A61,Summary_Index!$A$5:$N$281,13,0)="","",VLOOKUP(A61,Summary_Index!$A$5:$N$281,13,0)),"")</f>
        <v/>
      </c>
      <c r="AV61" s="87" t="str">
        <f>IFERROR(IF(VLOOKUP(A61,Summary_Index!$A$5:$N$281,14,0)="","",VLOOKUP(A61,Summary_Index!$A$5:$N$281,14,0)),"")</f>
        <v/>
      </c>
    </row>
    <row r="62" spans="1:48" ht="45.6" customHeight="1" x14ac:dyDescent="0.3">
      <c r="A62" s="37">
        <f>Spatial!A62</f>
        <v>61</v>
      </c>
      <c r="B62" s="87">
        <f>Spatial!B62</f>
        <v>0</v>
      </c>
      <c r="C62" s="37">
        <f>Spatial!C62</f>
        <v>0</v>
      </c>
      <c r="D62" s="37">
        <f>Spatial!D62</f>
        <v>0</v>
      </c>
      <c r="E62" s="37">
        <f>Spatial!E62</f>
        <v>0</v>
      </c>
      <c r="F62" s="37">
        <f>Spatial!F62</f>
        <v>0</v>
      </c>
      <c r="G62" s="37">
        <f>IFERROR(Spatial!G62,"")</f>
        <v>0</v>
      </c>
      <c r="H62" s="37"/>
      <c r="I62" s="37"/>
      <c r="J62" s="37" t="str">
        <f t="shared" si="0"/>
        <v>0_0</v>
      </c>
      <c r="K62" s="37" t="str">
        <f>IFERROR(IF(VLOOKUP(A62,'Service Coverage'!$A:$C,3,0)="","",VLOOKUP(A62,'Service Coverage'!$A:$C,3,0)),"")</f>
        <v/>
      </c>
      <c r="L62" s="37" t="str">
        <f>IFERROR(IF(VLOOKUP(A62,'Service Coverage'!$A:$D,4,0)="","",VLOOKUP(A62,'Service Coverage'!$A:$D,4,0)),"")</f>
        <v/>
      </c>
      <c r="M62" s="37" t="str">
        <f>IFERROR(IF(VLOOKUP(A62,'Service Coverage'!$A:$E,5,0)="","",VLOOKUP(A62,'Service Coverage'!$A:$E,5,0)),"")</f>
        <v/>
      </c>
      <c r="N62" s="37" t="str">
        <f>IFERROR(IF(VLOOKUP(A62,'Service Coverage'!$A:$F,6,0)="","",VLOOKUP(A62,'Service Coverage'!$A:$F,6,0)),"")</f>
        <v/>
      </c>
      <c r="O62" s="37" t="str">
        <f>IFERROR(IF(VLOOKUP(A62,'Service Coverage'!$A:$G,7,0)="","",VLOOKUP(A62,'Service Coverage'!$A:$G,7,0)),"")</f>
        <v/>
      </c>
      <c r="P62" s="37" t="str">
        <f>IFERROR(IF(VLOOKUP(A62,Adequacy!$A:$C,3,0)="","",VLOOKUP(A62,Adequacy!$A:$C,3,0)),"")</f>
        <v/>
      </c>
      <c r="Q62" s="37" t="str">
        <f>IFERROR(IF(VLOOKUP(A62,Adequacy!$A:$D,4,0)="","",VLOOKUP(A62,Adequacy!$A:$D,4,0)),"")</f>
        <v/>
      </c>
      <c r="R62" s="37" t="str">
        <f>IFERROR(IF(VLOOKUP(A62,Adequacy!$A:$E,5,0)="","",VLOOKUP(A62,Adequacy!$A:$E,5,0)),"")</f>
        <v/>
      </c>
      <c r="S62" s="37" t="str">
        <f>IFERROR(IF(VLOOKUP(A62,Adequacy!$A:$G,7,0)="","",VLOOKUP(A62,Adequacy!$A:$G,7,0)),"")</f>
        <v/>
      </c>
      <c r="T62" s="37" t="str">
        <f>IFERROR(IF(VLOOKUP(A62,Adequacy!$A:$H,8,0)="","",VLOOKUP(A62,Adequacy!$A:$H,8,0)),"")</f>
        <v xml:space="preserve"> </v>
      </c>
      <c r="U62" s="37" t="str">
        <f>IFERROR(IF(VLOOKUP(A62,Adequacy!$A:$J,10,0)="","",VLOOKUP(A62,Adequacy!$A:$J,10,0)),"")</f>
        <v/>
      </c>
      <c r="V62" s="37" t="str">
        <f>IFERROR(IF(VLOOKUP(A62,'Water Quality Score'!$A:$C,3,0)="","",VLOOKUP(A62,'Water Quality Score'!$A:$C,3,0)),"")</f>
        <v/>
      </c>
      <c r="W62" s="37" t="str">
        <f>IFERROR(IF(VLOOKUP(A62,'Water Quality Score'!$A:$D,4,0)="","",VLOOKUP(A62,'Water Quality Score'!$A:$D,4,0)),"")</f>
        <v/>
      </c>
      <c r="X62" s="37" t="str">
        <f>IFERROR(IF(VLOOKUP(A62,'Water Quality Score'!$A:$E,5,0)="","",VLOOKUP(A62,'Water Quality Score'!$A:$E,5,0)),"")</f>
        <v/>
      </c>
      <c r="Y62" s="37">
        <f>IFERROR(IF(VLOOKUP(A62,'Water Quality Score'!$A:$F,6,0)="","",VLOOKUP(A62,'Water Quality Score'!$A:$F,6,0)),"")</f>
        <v>0</v>
      </c>
      <c r="Z62" s="37" t="str">
        <f>IFERROR(IF(VLOOKUP(A62,'Reliability score'!$A:$C,3,0)="","",VLOOKUP(A62,'Reliability score'!$A:$C,3,0)),"")</f>
        <v/>
      </c>
      <c r="AA62" s="37" t="str">
        <f>IFERROR(IF(VLOOKUP(A62,'Reliability score'!$A:$D,4,0)="","",VLOOKUP(A62,'Reliability score'!$A:$D,4,0)),"")</f>
        <v xml:space="preserve"> </v>
      </c>
      <c r="AB62" s="37" t="str">
        <f>IFERROR(IF(VLOOKUP(A62,NRW!$A:$C,3,0)="","",VLOOKUP(A62,NRW!$A:$C,3,0)),"")</f>
        <v/>
      </c>
      <c r="AC62" s="37" t="str">
        <f>IFERROR(IF(VLOOKUP(A62,NRW!$A:$D,4,0)="","",VLOOKUP(A62,NRW!$A:$D,4,0)),"")</f>
        <v/>
      </c>
      <c r="AD62" s="37" t="str">
        <f>IFERROR(IF(VLOOKUP(A62,NRW!$A:$E,5,0)="","",VLOOKUP(A62,NRW!$A:$E,5,0)),"")</f>
        <v/>
      </c>
      <c r="AE62" s="37" t="str">
        <f>IFERROR(IF(VLOOKUP(A62,NRW!$A:$F,6,0)="","",VLOOKUP(A62,NRW!$A:$F,6,0)),"")</f>
        <v/>
      </c>
      <c r="AF62" s="37" t="str">
        <f>IFERROR(IF(VLOOKUP(A62,NRW!$A:$G,7,0)="","",VLOOKUP(A62,NRW!$A:$G,7,0)),"")</f>
        <v/>
      </c>
      <c r="AG62" s="37" t="str">
        <f>IFERROR(IF(OR(VLOOKUP(A62,NRW!$A:$H,8,0)="",VLOOKUP(A62,NRW!$A:$H,8,0)=0),"",VLOOKUP(A62,NRW!$A:$H,8,0)),"")</f>
        <v/>
      </c>
      <c r="AH62" s="87" t="str">
        <f>IFERROR(IF(VLOOKUP(A62,'O&amp;M score'!$A:$D,4,0)="","",VLOOKUP(A62,'O&amp;M score'!$A:$D,4,0)),"")</f>
        <v/>
      </c>
      <c r="AI62" s="87" t="str">
        <f>IFERROR(IF(VLOOKUP(A62,'O&amp;M score'!$A:$E,5,0)="","",VLOOKUP(A62,'O&amp;M score'!$A:$E,5,0)),"")</f>
        <v/>
      </c>
      <c r="AJ62" s="87" t="str">
        <f>IFERROR(IF(VLOOKUP(A62,'O&amp;M score'!$A:$F,6,0)="","",VLOOKUP(A62,'O&amp;M score'!$A:$F,6,0)),"")</f>
        <v/>
      </c>
      <c r="AK62" s="87" t="str">
        <f>IFERROR(IF(VLOOKUP(A62,'O&amp;M score'!$A:$G,7,0)="","",VLOOKUP(A62,'O&amp;M score'!$A:$G,7,0)),"")</f>
        <v/>
      </c>
      <c r="AL62" s="87" t="str">
        <f>IFERROR(IF(VLOOKUP(A62,'Metering Ratio Score'!$A:$C,3,0)="","",VLOOKUP(A62,'Metering Ratio Score'!$A:$C,3,0)),"")</f>
        <v/>
      </c>
      <c r="AM62" s="87" t="str">
        <f>IFERROR(IF(VLOOKUP(A62,'Metering Ratio Score'!$A:$D,4,0)="","",VLOOKUP(A62,'Metering Ratio Score'!$A:$D,4,0)),"")</f>
        <v/>
      </c>
      <c r="AN62" s="87" t="str">
        <f>IFERROR(IF(VLOOKUP(A62,'Metering Ratio Score'!$A:$E,5,0)="","",VLOOKUP(A62,'Metering Ratio Score'!$A:$E,5,0)),"")</f>
        <v/>
      </c>
      <c r="AO62" s="87" t="str">
        <f>IFERROR(IF(VLOOKUP(A62,'Metering Ratio Score'!$A:$F,6,0)="","",VLOOKUP(A62,'Metering Ratio Score'!$A:$F,6,0)),"")</f>
        <v/>
      </c>
      <c r="AP62" s="87" t="str">
        <f>IFERROR(IF(VLOOKUP(A62,'Grievance Addressal'!$A:$C,3,0)="","",VLOOKUP(A62,'Grievance Addressal'!$A:$C,3,0)),"")</f>
        <v/>
      </c>
      <c r="AQ62" s="87" t="str">
        <f>IFERROR(IF(VLOOKUP(A62,'Grievance Addressal'!$A:$D,4,0)="","",VLOOKUP(A62,'Grievance Addressal'!$A:$D,4,0)),"")</f>
        <v/>
      </c>
      <c r="AR62" s="87" t="str">
        <f>IFERROR(IF(VLOOKUP(A62,'Grievance Addressal'!$A:$E,5,0)="","",VLOOKUP(A62,'Grievance Addressal'!$A:$E,5,0)),"")</f>
        <v xml:space="preserve"> </v>
      </c>
      <c r="AS62" s="87" t="str">
        <f>IFERROR(IF(VLOOKUP(A62,Summary_Index!$A$5:$N$281,7,0)="","",VLOOKUP(A62,Summary_Index!$A$5:$N$281,7,0)),"")</f>
        <v/>
      </c>
      <c r="AT62" s="87" t="str">
        <f>IFERROR(IF(VLOOKUP(A62,Summary_Index!$A$5:$N$281,12,0)="","",VLOOKUP(A62,Summary_Index!$A$5:$N$281,12,0)),"")</f>
        <v/>
      </c>
      <c r="AU62" s="87" t="str">
        <f>IFERROR(IF(VLOOKUP(A62,Summary_Index!$A$5:$N$281,13,0)="","",VLOOKUP(A62,Summary_Index!$A$5:$N$281,13,0)),"")</f>
        <v/>
      </c>
      <c r="AV62" s="87" t="str">
        <f>IFERROR(IF(VLOOKUP(A62,Summary_Index!$A$5:$N$281,14,0)="","",VLOOKUP(A62,Summary_Index!$A$5:$N$281,14,0)),"")</f>
        <v/>
      </c>
    </row>
    <row r="63" spans="1:48" ht="45.6" customHeight="1" x14ac:dyDescent="0.3">
      <c r="A63" s="37">
        <f>Spatial!A63</f>
        <v>62</v>
      </c>
      <c r="B63" s="87">
        <f>Spatial!B63</f>
        <v>0</v>
      </c>
      <c r="C63" s="37">
        <f>Spatial!C63</f>
        <v>0</v>
      </c>
      <c r="D63" s="37">
        <f>Spatial!D63</f>
        <v>0</v>
      </c>
      <c r="E63" s="37">
        <f>Spatial!E63</f>
        <v>0</v>
      </c>
      <c r="F63" s="37">
        <f>Spatial!F63</f>
        <v>0</v>
      </c>
      <c r="G63" s="37">
        <f>IFERROR(Spatial!G63,"")</f>
        <v>0</v>
      </c>
      <c r="H63" s="37"/>
      <c r="I63" s="37"/>
      <c r="J63" s="37" t="str">
        <f t="shared" si="0"/>
        <v>0_0</v>
      </c>
      <c r="K63" s="37" t="str">
        <f>IFERROR(IF(VLOOKUP(A63,'Service Coverage'!$A:$C,3,0)="","",VLOOKUP(A63,'Service Coverage'!$A:$C,3,0)),"")</f>
        <v/>
      </c>
      <c r="L63" s="37" t="str">
        <f>IFERROR(IF(VLOOKUP(A63,'Service Coverage'!$A:$D,4,0)="","",VLOOKUP(A63,'Service Coverage'!$A:$D,4,0)),"")</f>
        <v/>
      </c>
      <c r="M63" s="37" t="str">
        <f>IFERROR(IF(VLOOKUP(A63,'Service Coverage'!$A:$E,5,0)="","",VLOOKUP(A63,'Service Coverage'!$A:$E,5,0)),"")</f>
        <v/>
      </c>
      <c r="N63" s="37" t="str">
        <f>IFERROR(IF(VLOOKUP(A63,'Service Coverage'!$A:$F,6,0)="","",VLOOKUP(A63,'Service Coverage'!$A:$F,6,0)),"")</f>
        <v/>
      </c>
      <c r="O63" s="37" t="str">
        <f>IFERROR(IF(VLOOKUP(A63,'Service Coverage'!$A:$G,7,0)="","",VLOOKUP(A63,'Service Coverage'!$A:$G,7,0)),"")</f>
        <v/>
      </c>
      <c r="P63" s="37" t="str">
        <f>IFERROR(IF(VLOOKUP(A63,Adequacy!$A:$C,3,0)="","",VLOOKUP(A63,Adequacy!$A:$C,3,0)),"")</f>
        <v/>
      </c>
      <c r="Q63" s="37" t="str">
        <f>IFERROR(IF(VLOOKUP(A63,Adequacy!$A:$D,4,0)="","",VLOOKUP(A63,Adequacy!$A:$D,4,0)),"")</f>
        <v/>
      </c>
      <c r="R63" s="37" t="str">
        <f>IFERROR(IF(VLOOKUP(A63,Adequacy!$A:$E,5,0)="","",VLOOKUP(A63,Adequacy!$A:$E,5,0)),"")</f>
        <v/>
      </c>
      <c r="S63" s="37" t="str">
        <f>IFERROR(IF(VLOOKUP(A63,Adequacy!$A:$G,7,0)="","",VLOOKUP(A63,Adequacy!$A:$G,7,0)),"")</f>
        <v/>
      </c>
      <c r="T63" s="37" t="str">
        <f>IFERROR(IF(VLOOKUP(A63,Adequacy!$A:$H,8,0)="","",VLOOKUP(A63,Adequacy!$A:$H,8,0)),"")</f>
        <v xml:space="preserve"> </v>
      </c>
      <c r="U63" s="37" t="str">
        <f>IFERROR(IF(VLOOKUP(A63,Adequacy!$A:$J,10,0)="","",VLOOKUP(A63,Adequacy!$A:$J,10,0)),"")</f>
        <v/>
      </c>
      <c r="V63" s="37" t="str">
        <f>IFERROR(IF(VLOOKUP(A63,'Water Quality Score'!$A:$C,3,0)="","",VLOOKUP(A63,'Water Quality Score'!$A:$C,3,0)),"")</f>
        <v/>
      </c>
      <c r="W63" s="37" t="str">
        <f>IFERROR(IF(VLOOKUP(A63,'Water Quality Score'!$A:$D,4,0)="","",VLOOKUP(A63,'Water Quality Score'!$A:$D,4,0)),"")</f>
        <v/>
      </c>
      <c r="X63" s="37" t="str">
        <f>IFERROR(IF(VLOOKUP(A63,'Water Quality Score'!$A:$E,5,0)="","",VLOOKUP(A63,'Water Quality Score'!$A:$E,5,0)),"")</f>
        <v/>
      </c>
      <c r="Y63" s="37">
        <f>IFERROR(IF(VLOOKUP(A63,'Water Quality Score'!$A:$F,6,0)="","",VLOOKUP(A63,'Water Quality Score'!$A:$F,6,0)),"")</f>
        <v>0</v>
      </c>
      <c r="Z63" s="37" t="str">
        <f>IFERROR(IF(VLOOKUP(A63,'Reliability score'!$A:$C,3,0)="","",VLOOKUP(A63,'Reliability score'!$A:$C,3,0)),"")</f>
        <v/>
      </c>
      <c r="AA63" s="37" t="str">
        <f>IFERROR(IF(VLOOKUP(A63,'Reliability score'!$A:$D,4,0)="","",VLOOKUP(A63,'Reliability score'!$A:$D,4,0)),"")</f>
        <v xml:space="preserve"> </v>
      </c>
      <c r="AB63" s="37" t="str">
        <f>IFERROR(IF(VLOOKUP(A63,NRW!$A:$C,3,0)="","",VLOOKUP(A63,NRW!$A:$C,3,0)),"")</f>
        <v/>
      </c>
      <c r="AC63" s="37" t="str">
        <f>IFERROR(IF(VLOOKUP(A63,NRW!$A:$D,4,0)="","",VLOOKUP(A63,NRW!$A:$D,4,0)),"")</f>
        <v/>
      </c>
      <c r="AD63" s="37" t="str">
        <f>IFERROR(IF(VLOOKUP(A63,NRW!$A:$E,5,0)="","",VLOOKUP(A63,NRW!$A:$E,5,0)),"")</f>
        <v/>
      </c>
      <c r="AE63" s="37" t="str">
        <f>IFERROR(IF(VLOOKUP(A63,NRW!$A:$F,6,0)="","",VLOOKUP(A63,NRW!$A:$F,6,0)),"")</f>
        <v/>
      </c>
      <c r="AF63" s="37" t="str">
        <f>IFERROR(IF(VLOOKUP(A63,NRW!$A:$G,7,0)="","",VLOOKUP(A63,NRW!$A:$G,7,0)),"")</f>
        <v/>
      </c>
      <c r="AG63" s="37" t="str">
        <f>IFERROR(IF(OR(VLOOKUP(A63,NRW!$A:$H,8,0)="",VLOOKUP(A63,NRW!$A:$H,8,0)=0),"",VLOOKUP(A63,NRW!$A:$H,8,0)),"")</f>
        <v/>
      </c>
      <c r="AH63" s="87" t="str">
        <f>IFERROR(IF(VLOOKUP(A63,'O&amp;M score'!$A:$D,4,0)="","",VLOOKUP(A63,'O&amp;M score'!$A:$D,4,0)),"")</f>
        <v/>
      </c>
      <c r="AI63" s="87" t="str">
        <f>IFERROR(IF(VLOOKUP(A63,'O&amp;M score'!$A:$E,5,0)="","",VLOOKUP(A63,'O&amp;M score'!$A:$E,5,0)),"")</f>
        <v/>
      </c>
      <c r="AJ63" s="87" t="str">
        <f>IFERROR(IF(VLOOKUP(A63,'O&amp;M score'!$A:$F,6,0)="","",VLOOKUP(A63,'O&amp;M score'!$A:$F,6,0)),"")</f>
        <v/>
      </c>
      <c r="AK63" s="87" t="str">
        <f>IFERROR(IF(VLOOKUP(A63,'O&amp;M score'!$A:$G,7,0)="","",VLOOKUP(A63,'O&amp;M score'!$A:$G,7,0)),"")</f>
        <v/>
      </c>
      <c r="AL63" s="87" t="str">
        <f>IFERROR(IF(VLOOKUP(A63,'Metering Ratio Score'!$A:$C,3,0)="","",VLOOKUP(A63,'Metering Ratio Score'!$A:$C,3,0)),"")</f>
        <v/>
      </c>
      <c r="AM63" s="87" t="str">
        <f>IFERROR(IF(VLOOKUP(A63,'Metering Ratio Score'!$A:$D,4,0)="","",VLOOKUP(A63,'Metering Ratio Score'!$A:$D,4,0)),"")</f>
        <v/>
      </c>
      <c r="AN63" s="87" t="str">
        <f>IFERROR(IF(VLOOKUP(A63,'Metering Ratio Score'!$A:$E,5,0)="","",VLOOKUP(A63,'Metering Ratio Score'!$A:$E,5,0)),"")</f>
        <v/>
      </c>
      <c r="AO63" s="87" t="str">
        <f>IFERROR(IF(VLOOKUP(A63,'Metering Ratio Score'!$A:$F,6,0)="","",VLOOKUP(A63,'Metering Ratio Score'!$A:$F,6,0)),"")</f>
        <v/>
      </c>
      <c r="AP63" s="87" t="str">
        <f>IFERROR(IF(VLOOKUP(A63,'Grievance Addressal'!$A:$C,3,0)="","",VLOOKUP(A63,'Grievance Addressal'!$A:$C,3,0)),"")</f>
        <v/>
      </c>
      <c r="AQ63" s="87" t="str">
        <f>IFERROR(IF(VLOOKUP(A63,'Grievance Addressal'!$A:$D,4,0)="","",VLOOKUP(A63,'Grievance Addressal'!$A:$D,4,0)),"")</f>
        <v/>
      </c>
      <c r="AR63" s="87" t="str">
        <f>IFERROR(IF(VLOOKUP(A63,'Grievance Addressal'!$A:$E,5,0)="","",VLOOKUP(A63,'Grievance Addressal'!$A:$E,5,0)),"")</f>
        <v xml:space="preserve"> </v>
      </c>
      <c r="AS63" s="87" t="str">
        <f>IFERROR(IF(VLOOKUP(A63,Summary_Index!$A$5:$N$281,7,0)="","",VLOOKUP(A63,Summary_Index!$A$5:$N$281,7,0)),"")</f>
        <v/>
      </c>
      <c r="AT63" s="87" t="str">
        <f>IFERROR(IF(VLOOKUP(A63,Summary_Index!$A$5:$N$281,12,0)="","",VLOOKUP(A63,Summary_Index!$A$5:$N$281,12,0)),"")</f>
        <v/>
      </c>
      <c r="AU63" s="87" t="str">
        <f>IFERROR(IF(VLOOKUP(A63,Summary_Index!$A$5:$N$281,13,0)="","",VLOOKUP(A63,Summary_Index!$A$5:$N$281,13,0)),"")</f>
        <v/>
      </c>
      <c r="AV63" s="87" t="str">
        <f>IFERROR(IF(VLOOKUP(A63,Summary_Index!$A$5:$N$281,14,0)="","",VLOOKUP(A63,Summary_Index!$A$5:$N$281,14,0)),"")</f>
        <v/>
      </c>
    </row>
    <row r="64" spans="1:48" ht="45.6" customHeight="1" x14ac:dyDescent="0.3">
      <c r="A64" s="37">
        <f>Spatial!A64</f>
        <v>63</v>
      </c>
      <c r="B64" s="87">
        <f>Spatial!B64</f>
        <v>0</v>
      </c>
      <c r="C64" s="37">
        <f>Spatial!C64</f>
        <v>0</v>
      </c>
      <c r="D64" s="37">
        <f>Spatial!D64</f>
        <v>0</v>
      </c>
      <c r="E64" s="37">
        <f>Spatial!E64</f>
        <v>0</v>
      </c>
      <c r="F64" s="37">
        <f>Spatial!F64</f>
        <v>0</v>
      </c>
      <c r="G64" s="37">
        <f>IFERROR(Spatial!G64,"")</f>
        <v>0</v>
      </c>
      <c r="H64" s="37"/>
      <c r="I64" s="37"/>
      <c r="J64" s="37" t="str">
        <f t="shared" si="0"/>
        <v>0_0</v>
      </c>
      <c r="K64" s="37" t="str">
        <f>IFERROR(IF(VLOOKUP(A64,'Service Coverage'!$A:$C,3,0)="","",VLOOKUP(A64,'Service Coverage'!$A:$C,3,0)),"")</f>
        <v/>
      </c>
      <c r="L64" s="37" t="str">
        <f>IFERROR(IF(VLOOKUP(A64,'Service Coverage'!$A:$D,4,0)="","",VLOOKUP(A64,'Service Coverage'!$A:$D,4,0)),"")</f>
        <v/>
      </c>
      <c r="M64" s="37" t="str">
        <f>IFERROR(IF(VLOOKUP(A64,'Service Coverage'!$A:$E,5,0)="","",VLOOKUP(A64,'Service Coverage'!$A:$E,5,0)),"")</f>
        <v/>
      </c>
      <c r="N64" s="37" t="str">
        <f>IFERROR(IF(VLOOKUP(A64,'Service Coverage'!$A:$F,6,0)="","",VLOOKUP(A64,'Service Coverage'!$A:$F,6,0)),"")</f>
        <v/>
      </c>
      <c r="O64" s="37" t="str">
        <f>IFERROR(IF(VLOOKUP(A64,'Service Coverage'!$A:$G,7,0)="","",VLOOKUP(A64,'Service Coverage'!$A:$G,7,0)),"")</f>
        <v/>
      </c>
      <c r="P64" s="37" t="str">
        <f>IFERROR(IF(VLOOKUP(A64,Adequacy!$A:$C,3,0)="","",VLOOKUP(A64,Adequacy!$A:$C,3,0)),"")</f>
        <v/>
      </c>
      <c r="Q64" s="37" t="str">
        <f>IFERROR(IF(VLOOKUP(A64,Adequacy!$A:$D,4,0)="","",VLOOKUP(A64,Adequacy!$A:$D,4,0)),"")</f>
        <v/>
      </c>
      <c r="R64" s="37" t="str">
        <f>IFERROR(IF(VLOOKUP(A64,Adequacy!$A:$E,5,0)="","",VLOOKUP(A64,Adequacy!$A:$E,5,0)),"")</f>
        <v/>
      </c>
      <c r="S64" s="37" t="str">
        <f>IFERROR(IF(VLOOKUP(A64,Adequacy!$A:$G,7,0)="","",VLOOKUP(A64,Adequacy!$A:$G,7,0)),"")</f>
        <v/>
      </c>
      <c r="T64" s="37" t="str">
        <f>IFERROR(IF(VLOOKUP(A64,Adequacy!$A:$H,8,0)="","",VLOOKUP(A64,Adequacy!$A:$H,8,0)),"")</f>
        <v xml:space="preserve"> </v>
      </c>
      <c r="U64" s="37" t="str">
        <f>IFERROR(IF(VLOOKUP(A64,Adequacy!$A:$J,10,0)="","",VLOOKUP(A64,Adequacy!$A:$J,10,0)),"")</f>
        <v/>
      </c>
      <c r="V64" s="37" t="str">
        <f>IFERROR(IF(VLOOKUP(A64,'Water Quality Score'!$A:$C,3,0)="","",VLOOKUP(A64,'Water Quality Score'!$A:$C,3,0)),"")</f>
        <v/>
      </c>
      <c r="W64" s="37" t="str">
        <f>IFERROR(IF(VLOOKUP(A64,'Water Quality Score'!$A:$D,4,0)="","",VLOOKUP(A64,'Water Quality Score'!$A:$D,4,0)),"")</f>
        <v/>
      </c>
      <c r="X64" s="37" t="str">
        <f>IFERROR(IF(VLOOKUP(A64,'Water Quality Score'!$A:$E,5,0)="","",VLOOKUP(A64,'Water Quality Score'!$A:$E,5,0)),"")</f>
        <v/>
      </c>
      <c r="Y64" s="37">
        <f>IFERROR(IF(VLOOKUP(A64,'Water Quality Score'!$A:$F,6,0)="","",VLOOKUP(A64,'Water Quality Score'!$A:$F,6,0)),"")</f>
        <v>0</v>
      </c>
      <c r="Z64" s="37" t="str">
        <f>IFERROR(IF(VLOOKUP(A64,'Reliability score'!$A:$C,3,0)="","",VLOOKUP(A64,'Reliability score'!$A:$C,3,0)),"")</f>
        <v/>
      </c>
      <c r="AA64" s="37" t="str">
        <f>IFERROR(IF(VLOOKUP(A64,'Reliability score'!$A:$D,4,0)="","",VLOOKUP(A64,'Reliability score'!$A:$D,4,0)),"")</f>
        <v xml:space="preserve"> </v>
      </c>
      <c r="AB64" s="37" t="str">
        <f>IFERROR(IF(VLOOKUP(A64,NRW!$A:$C,3,0)="","",VLOOKUP(A64,NRW!$A:$C,3,0)),"")</f>
        <v/>
      </c>
      <c r="AC64" s="37" t="str">
        <f>IFERROR(IF(VLOOKUP(A64,NRW!$A:$D,4,0)="","",VLOOKUP(A64,NRW!$A:$D,4,0)),"")</f>
        <v/>
      </c>
      <c r="AD64" s="37" t="str">
        <f>IFERROR(IF(VLOOKUP(A64,NRW!$A:$E,5,0)="","",VLOOKUP(A64,NRW!$A:$E,5,0)),"")</f>
        <v/>
      </c>
      <c r="AE64" s="37" t="str">
        <f>IFERROR(IF(VLOOKUP(A64,NRW!$A:$F,6,0)="","",VLOOKUP(A64,NRW!$A:$F,6,0)),"")</f>
        <v/>
      </c>
      <c r="AF64" s="37" t="str">
        <f>IFERROR(IF(VLOOKUP(A64,NRW!$A:$G,7,0)="","",VLOOKUP(A64,NRW!$A:$G,7,0)),"")</f>
        <v/>
      </c>
      <c r="AG64" s="37" t="str">
        <f>IFERROR(IF(OR(VLOOKUP(A64,NRW!$A:$H,8,0)="",VLOOKUP(A64,NRW!$A:$H,8,0)=0),"",VLOOKUP(A64,NRW!$A:$H,8,0)),"")</f>
        <v/>
      </c>
      <c r="AH64" s="87" t="str">
        <f>IFERROR(IF(VLOOKUP(A64,'O&amp;M score'!$A:$D,4,0)="","",VLOOKUP(A64,'O&amp;M score'!$A:$D,4,0)),"")</f>
        <v/>
      </c>
      <c r="AI64" s="87" t="str">
        <f>IFERROR(IF(VLOOKUP(A64,'O&amp;M score'!$A:$E,5,0)="","",VLOOKUP(A64,'O&amp;M score'!$A:$E,5,0)),"")</f>
        <v/>
      </c>
      <c r="AJ64" s="87" t="str">
        <f>IFERROR(IF(VLOOKUP(A64,'O&amp;M score'!$A:$F,6,0)="","",VLOOKUP(A64,'O&amp;M score'!$A:$F,6,0)),"")</f>
        <v/>
      </c>
      <c r="AK64" s="87" t="str">
        <f>IFERROR(IF(VLOOKUP(A64,'O&amp;M score'!$A:$G,7,0)="","",VLOOKUP(A64,'O&amp;M score'!$A:$G,7,0)),"")</f>
        <v/>
      </c>
      <c r="AL64" s="87" t="str">
        <f>IFERROR(IF(VLOOKUP(A64,'Metering Ratio Score'!$A:$C,3,0)="","",VLOOKUP(A64,'Metering Ratio Score'!$A:$C,3,0)),"")</f>
        <v/>
      </c>
      <c r="AM64" s="87" t="str">
        <f>IFERROR(IF(VLOOKUP(A64,'Metering Ratio Score'!$A:$D,4,0)="","",VLOOKUP(A64,'Metering Ratio Score'!$A:$D,4,0)),"")</f>
        <v/>
      </c>
      <c r="AN64" s="87" t="str">
        <f>IFERROR(IF(VLOOKUP(A64,'Metering Ratio Score'!$A:$E,5,0)="","",VLOOKUP(A64,'Metering Ratio Score'!$A:$E,5,0)),"")</f>
        <v/>
      </c>
      <c r="AO64" s="87" t="str">
        <f>IFERROR(IF(VLOOKUP(A64,'Metering Ratio Score'!$A:$F,6,0)="","",VLOOKUP(A64,'Metering Ratio Score'!$A:$F,6,0)),"")</f>
        <v/>
      </c>
      <c r="AP64" s="87" t="str">
        <f>IFERROR(IF(VLOOKUP(A64,'Grievance Addressal'!$A:$C,3,0)="","",VLOOKUP(A64,'Grievance Addressal'!$A:$C,3,0)),"")</f>
        <v/>
      </c>
      <c r="AQ64" s="87" t="str">
        <f>IFERROR(IF(VLOOKUP(A64,'Grievance Addressal'!$A:$D,4,0)="","",VLOOKUP(A64,'Grievance Addressal'!$A:$D,4,0)),"")</f>
        <v/>
      </c>
      <c r="AR64" s="87" t="str">
        <f>IFERROR(IF(VLOOKUP(A64,'Grievance Addressal'!$A:$E,5,0)="","",VLOOKUP(A64,'Grievance Addressal'!$A:$E,5,0)),"")</f>
        <v xml:space="preserve"> </v>
      </c>
      <c r="AS64" s="87" t="str">
        <f>IFERROR(IF(VLOOKUP(A64,Summary_Index!$A$5:$N$281,7,0)="","",VLOOKUP(A64,Summary_Index!$A$5:$N$281,7,0)),"")</f>
        <v/>
      </c>
      <c r="AT64" s="87" t="str">
        <f>IFERROR(IF(VLOOKUP(A64,Summary_Index!$A$5:$N$281,12,0)="","",VLOOKUP(A64,Summary_Index!$A$5:$N$281,12,0)),"")</f>
        <v/>
      </c>
      <c r="AU64" s="87" t="str">
        <f>IFERROR(IF(VLOOKUP(A64,Summary_Index!$A$5:$N$281,13,0)="","",VLOOKUP(A64,Summary_Index!$A$5:$N$281,13,0)),"")</f>
        <v/>
      </c>
      <c r="AV64" s="87" t="str">
        <f>IFERROR(IF(VLOOKUP(A64,Summary_Index!$A$5:$N$281,14,0)="","",VLOOKUP(A64,Summary_Index!$A$5:$N$281,14,0)),"")</f>
        <v/>
      </c>
    </row>
    <row r="65" spans="1:48" ht="45.6" customHeight="1" x14ac:dyDescent="0.3">
      <c r="A65" s="37">
        <f>Spatial!A65</f>
        <v>64</v>
      </c>
      <c r="B65" s="87">
        <f>Spatial!B65</f>
        <v>0</v>
      </c>
      <c r="C65" s="37">
        <f>Spatial!C65</f>
        <v>0</v>
      </c>
      <c r="D65" s="37">
        <f>Spatial!D65</f>
        <v>0</v>
      </c>
      <c r="E65" s="37">
        <f>Spatial!E65</f>
        <v>0</v>
      </c>
      <c r="F65" s="37">
        <f>Spatial!F65</f>
        <v>0</v>
      </c>
      <c r="G65" s="37">
        <f>IFERROR(Spatial!G65,"")</f>
        <v>0</v>
      </c>
      <c r="H65" s="37"/>
      <c r="I65" s="37"/>
      <c r="J65" s="37" t="str">
        <f t="shared" si="0"/>
        <v>0_0</v>
      </c>
      <c r="K65" s="37" t="str">
        <f>IFERROR(IF(VLOOKUP(A65,'Service Coverage'!$A:$C,3,0)="","",VLOOKUP(A65,'Service Coverage'!$A:$C,3,0)),"")</f>
        <v/>
      </c>
      <c r="L65" s="37" t="str">
        <f>IFERROR(IF(VLOOKUP(A65,'Service Coverage'!$A:$D,4,0)="","",VLOOKUP(A65,'Service Coverage'!$A:$D,4,0)),"")</f>
        <v/>
      </c>
      <c r="M65" s="37" t="str">
        <f>IFERROR(IF(VLOOKUP(A65,'Service Coverage'!$A:$E,5,0)="","",VLOOKUP(A65,'Service Coverage'!$A:$E,5,0)),"")</f>
        <v/>
      </c>
      <c r="N65" s="37" t="str">
        <f>IFERROR(IF(VLOOKUP(A65,'Service Coverage'!$A:$F,6,0)="","",VLOOKUP(A65,'Service Coverage'!$A:$F,6,0)),"")</f>
        <v/>
      </c>
      <c r="O65" s="37" t="str">
        <f>IFERROR(IF(VLOOKUP(A65,'Service Coverage'!$A:$G,7,0)="","",VLOOKUP(A65,'Service Coverage'!$A:$G,7,0)),"")</f>
        <v/>
      </c>
      <c r="P65" s="37" t="str">
        <f>IFERROR(IF(VLOOKUP(A65,Adequacy!$A:$C,3,0)="","",VLOOKUP(A65,Adequacy!$A:$C,3,0)),"")</f>
        <v/>
      </c>
      <c r="Q65" s="37" t="str">
        <f>IFERROR(IF(VLOOKUP(A65,Adequacy!$A:$D,4,0)="","",VLOOKUP(A65,Adequacy!$A:$D,4,0)),"")</f>
        <v/>
      </c>
      <c r="R65" s="37" t="str">
        <f>IFERROR(IF(VLOOKUP(A65,Adequacy!$A:$E,5,0)="","",VLOOKUP(A65,Adequacy!$A:$E,5,0)),"")</f>
        <v/>
      </c>
      <c r="S65" s="37" t="str">
        <f>IFERROR(IF(VLOOKUP(A65,Adequacy!$A:$G,7,0)="","",VLOOKUP(A65,Adequacy!$A:$G,7,0)),"")</f>
        <v/>
      </c>
      <c r="T65" s="37" t="str">
        <f>IFERROR(IF(VLOOKUP(A65,Adequacy!$A:$H,8,0)="","",VLOOKUP(A65,Adequacy!$A:$H,8,0)),"")</f>
        <v xml:space="preserve"> </v>
      </c>
      <c r="U65" s="37" t="str">
        <f>IFERROR(IF(VLOOKUP(A65,Adequacy!$A:$J,10,0)="","",VLOOKUP(A65,Adequacy!$A:$J,10,0)),"")</f>
        <v/>
      </c>
      <c r="V65" s="37" t="str">
        <f>IFERROR(IF(VLOOKUP(A65,'Water Quality Score'!$A:$C,3,0)="","",VLOOKUP(A65,'Water Quality Score'!$A:$C,3,0)),"")</f>
        <v/>
      </c>
      <c r="W65" s="37" t="str">
        <f>IFERROR(IF(VLOOKUP(A65,'Water Quality Score'!$A:$D,4,0)="","",VLOOKUP(A65,'Water Quality Score'!$A:$D,4,0)),"")</f>
        <v/>
      </c>
      <c r="X65" s="37" t="str">
        <f>IFERROR(IF(VLOOKUP(A65,'Water Quality Score'!$A:$E,5,0)="","",VLOOKUP(A65,'Water Quality Score'!$A:$E,5,0)),"")</f>
        <v/>
      </c>
      <c r="Y65" s="37">
        <f>IFERROR(IF(VLOOKUP(A65,'Water Quality Score'!$A:$F,6,0)="","",VLOOKUP(A65,'Water Quality Score'!$A:$F,6,0)),"")</f>
        <v>0</v>
      </c>
      <c r="Z65" s="37" t="str">
        <f>IFERROR(IF(VLOOKUP(A65,'Reliability score'!$A:$C,3,0)="","",VLOOKUP(A65,'Reliability score'!$A:$C,3,0)),"")</f>
        <v/>
      </c>
      <c r="AA65" s="37" t="str">
        <f>IFERROR(IF(VLOOKUP(A65,'Reliability score'!$A:$D,4,0)="","",VLOOKUP(A65,'Reliability score'!$A:$D,4,0)),"")</f>
        <v xml:space="preserve"> </v>
      </c>
      <c r="AB65" s="37" t="str">
        <f>IFERROR(IF(VLOOKUP(A65,NRW!$A:$C,3,0)="","",VLOOKUP(A65,NRW!$A:$C,3,0)),"")</f>
        <v/>
      </c>
      <c r="AC65" s="37" t="str">
        <f>IFERROR(IF(VLOOKUP(A65,NRW!$A:$D,4,0)="","",VLOOKUP(A65,NRW!$A:$D,4,0)),"")</f>
        <v/>
      </c>
      <c r="AD65" s="37" t="str">
        <f>IFERROR(IF(VLOOKUP(A65,NRW!$A:$E,5,0)="","",VLOOKUP(A65,NRW!$A:$E,5,0)),"")</f>
        <v/>
      </c>
      <c r="AE65" s="37" t="str">
        <f>IFERROR(IF(VLOOKUP(A65,NRW!$A:$F,6,0)="","",VLOOKUP(A65,NRW!$A:$F,6,0)),"")</f>
        <v/>
      </c>
      <c r="AF65" s="37" t="str">
        <f>IFERROR(IF(VLOOKUP(A65,NRW!$A:$G,7,0)="","",VLOOKUP(A65,NRW!$A:$G,7,0)),"")</f>
        <v/>
      </c>
      <c r="AG65" s="37" t="str">
        <f>IFERROR(IF(OR(VLOOKUP(A65,NRW!$A:$H,8,0)="",VLOOKUP(A65,NRW!$A:$H,8,0)=0),"",VLOOKUP(A65,NRW!$A:$H,8,0)),"")</f>
        <v/>
      </c>
      <c r="AH65" s="87" t="str">
        <f>IFERROR(IF(VLOOKUP(A65,'O&amp;M score'!$A:$D,4,0)="","",VLOOKUP(A65,'O&amp;M score'!$A:$D,4,0)),"")</f>
        <v/>
      </c>
      <c r="AI65" s="87" t="str">
        <f>IFERROR(IF(VLOOKUP(A65,'O&amp;M score'!$A:$E,5,0)="","",VLOOKUP(A65,'O&amp;M score'!$A:$E,5,0)),"")</f>
        <v/>
      </c>
      <c r="AJ65" s="87" t="str">
        <f>IFERROR(IF(VLOOKUP(A65,'O&amp;M score'!$A:$F,6,0)="","",VLOOKUP(A65,'O&amp;M score'!$A:$F,6,0)),"")</f>
        <v/>
      </c>
      <c r="AK65" s="87" t="str">
        <f>IFERROR(IF(VLOOKUP(A65,'O&amp;M score'!$A:$G,7,0)="","",VLOOKUP(A65,'O&amp;M score'!$A:$G,7,0)),"")</f>
        <v/>
      </c>
      <c r="AL65" s="87" t="str">
        <f>IFERROR(IF(VLOOKUP(A65,'Metering Ratio Score'!$A:$C,3,0)="","",VLOOKUP(A65,'Metering Ratio Score'!$A:$C,3,0)),"")</f>
        <v/>
      </c>
      <c r="AM65" s="87" t="str">
        <f>IFERROR(IF(VLOOKUP(A65,'Metering Ratio Score'!$A:$D,4,0)="","",VLOOKUP(A65,'Metering Ratio Score'!$A:$D,4,0)),"")</f>
        <v/>
      </c>
      <c r="AN65" s="87" t="str">
        <f>IFERROR(IF(VLOOKUP(A65,'Metering Ratio Score'!$A:$E,5,0)="","",VLOOKUP(A65,'Metering Ratio Score'!$A:$E,5,0)),"")</f>
        <v/>
      </c>
      <c r="AO65" s="87" t="str">
        <f>IFERROR(IF(VLOOKUP(A65,'Metering Ratio Score'!$A:$F,6,0)="","",VLOOKUP(A65,'Metering Ratio Score'!$A:$F,6,0)),"")</f>
        <v/>
      </c>
      <c r="AP65" s="87" t="str">
        <f>IFERROR(IF(VLOOKUP(A65,'Grievance Addressal'!$A:$C,3,0)="","",VLOOKUP(A65,'Grievance Addressal'!$A:$C,3,0)),"")</f>
        <v/>
      </c>
      <c r="AQ65" s="87" t="str">
        <f>IFERROR(IF(VLOOKUP(A65,'Grievance Addressal'!$A:$D,4,0)="","",VLOOKUP(A65,'Grievance Addressal'!$A:$D,4,0)),"")</f>
        <v/>
      </c>
      <c r="AR65" s="87" t="str">
        <f>IFERROR(IF(VLOOKUP(A65,'Grievance Addressal'!$A:$E,5,0)="","",VLOOKUP(A65,'Grievance Addressal'!$A:$E,5,0)),"")</f>
        <v xml:space="preserve"> </v>
      </c>
      <c r="AS65" s="87" t="str">
        <f>IFERROR(IF(VLOOKUP(A65,Summary_Index!$A$5:$N$281,7,0)="","",VLOOKUP(A65,Summary_Index!$A$5:$N$281,7,0)),"")</f>
        <v/>
      </c>
      <c r="AT65" s="87" t="str">
        <f>IFERROR(IF(VLOOKUP(A65,Summary_Index!$A$5:$N$281,12,0)="","",VLOOKUP(A65,Summary_Index!$A$5:$N$281,12,0)),"")</f>
        <v/>
      </c>
      <c r="AU65" s="87" t="str">
        <f>IFERROR(IF(VLOOKUP(A65,Summary_Index!$A$5:$N$281,13,0)="","",VLOOKUP(A65,Summary_Index!$A$5:$N$281,13,0)),"")</f>
        <v/>
      </c>
      <c r="AV65" s="87" t="str">
        <f>IFERROR(IF(VLOOKUP(A65,Summary_Index!$A$5:$N$281,14,0)="","",VLOOKUP(A65,Summary_Index!$A$5:$N$281,14,0)),"")</f>
        <v/>
      </c>
    </row>
    <row r="66" spans="1:48" ht="45.6" customHeight="1" x14ac:dyDescent="0.3">
      <c r="A66" s="37">
        <f>Spatial!A66</f>
        <v>65</v>
      </c>
      <c r="B66" s="87">
        <f>Spatial!B66</f>
        <v>0</v>
      </c>
      <c r="C66" s="37">
        <f>Spatial!C66</f>
        <v>0</v>
      </c>
      <c r="D66" s="37">
        <f>Spatial!D66</f>
        <v>0</v>
      </c>
      <c r="E66" s="37">
        <f>Spatial!E66</f>
        <v>0</v>
      </c>
      <c r="F66" s="37">
        <f>Spatial!F66</f>
        <v>0</v>
      </c>
      <c r="G66" s="37">
        <f>IFERROR(Spatial!G66,"")</f>
        <v>0</v>
      </c>
      <c r="H66" s="37"/>
      <c r="I66" s="37"/>
      <c r="J66" s="37" t="str">
        <f t="shared" ref="J66:J73" si="1">F66&amp;"_"&amp;D66</f>
        <v>0_0</v>
      </c>
      <c r="K66" s="37" t="str">
        <f>IFERROR(IF(VLOOKUP(A66,'Service Coverage'!$A:$C,3,0)="","",VLOOKUP(A66,'Service Coverage'!$A:$C,3,0)),"")</f>
        <v/>
      </c>
      <c r="L66" s="37" t="str">
        <f>IFERROR(IF(VLOOKUP(A66,'Service Coverage'!$A:$D,4,0)="","",VLOOKUP(A66,'Service Coverage'!$A:$D,4,0)),"")</f>
        <v/>
      </c>
      <c r="M66" s="37" t="str">
        <f>IFERROR(IF(VLOOKUP(A66,'Service Coverage'!$A:$E,5,0)="","",VLOOKUP(A66,'Service Coverage'!$A:$E,5,0)),"")</f>
        <v/>
      </c>
      <c r="N66" s="37" t="str">
        <f>IFERROR(IF(VLOOKUP(A66,'Service Coverage'!$A:$F,6,0)="","",VLOOKUP(A66,'Service Coverage'!$A:$F,6,0)),"")</f>
        <v/>
      </c>
      <c r="O66" s="37" t="str">
        <f>IFERROR(IF(VLOOKUP(A66,'Service Coverage'!$A:$G,7,0)="","",VLOOKUP(A66,'Service Coverage'!$A:$G,7,0)),"")</f>
        <v/>
      </c>
      <c r="P66" s="37" t="str">
        <f>IFERROR(IF(VLOOKUP(A66,Adequacy!$A:$C,3,0)="","",VLOOKUP(A66,Adequacy!$A:$C,3,0)),"")</f>
        <v/>
      </c>
      <c r="Q66" s="37" t="str">
        <f>IFERROR(IF(VLOOKUP(A66,Adequacy!$A:$D,4,0)="","",VLOOKUP(A66,Adequacy!$A:$D,4,0)),"")</f>
        <v/>
      </c>
      <c r="R66" s="37" t="str">
        <f>IFERROR(IF(VLOOKUP(A66,Adequacy!$A:$E,5,0)="","",VLOOKUP(A66,Adequacy!$A:$E,5,0)),"")</f>
        <v/>
      </c>
      <c r="S66" s="37" t="str">
        <f>IFERROR(IF(VLOOKUP(A66,Adequacy!$A:$G,7,0)="","",VLOOKUP(A66,Adequacy!$A:$G,7,0)),"")</f>
        <v/>
      </c>
      <c r="T66" s="37" t="str">
        <f>IFERROR(IF(VLOOKUP(A66,Adequacy!$A:$H,8,0)="","",VLOOKUP(A66,Adequacy!$A:$H,8,0)),"")</f>
        <v xml:space="preserve"> </v>
      </c>
      <c r="U66" s="37" t="str">
        <f>IFERROR(IF(VLOOKUP(A66,Adequacy!$A:$J,10,0)="","",VLOOKUP(A66,Adequacy!$A:$J,10,0)),"")</f>
        <v/>
      </c>
      <c r="V66" s="37" t="str">
        <f>IFERROR(IF(VLOOKUP(A66,'Water Quality Score'!$A:$C,3,0)="","",VLOOKUP(A66,'Water Quality Score'!$A:$C,3,0)),"")</f>
        <v/>
      </c>
      <c r="W66" s="37" t="str">
        <f>IFERROR(IF(VLOOKUP(A66,'Water Quality Score'!$A:$D,4,0)="","",VLOOKUP(A66,'Water Quality Score'!$A:$D,4,0)),"")</f>
        <v/>
      </c>
      <c r="X66" s="37" t="str">
        <f>IFERROR(IF(VLOOKUP(A66,'Water Quality Score'!$A:$E,5,0)="","",VLOOKUP(A66,'Water Quality Score'!$A:$E,5,0)),"")</f>
        <v/>
      </c>
      <c r="Y66" s="37">
        <f>IFERROR(IF(VLOOKUP(A66,'Water Quality Score'!$A:$F,6,0)="","",VLOOKUP(A66,'Water Quality Score'!$A:$F,6,0)),"")</f>
        <v>0</v>
      </c>
      <c r="Z66" s="37" t="str">
        <f>IFERROR(IF(VLOOKUP(A66,'Reliability score'!$A:$C,3,0)="","",VLOOKUP(A66,'Reliability score'!$A:$C,3,0)),"")</f>
        <v/>
      </c>
      <c r="AA66" s="37" t="str">
        <f>IFERROR(IF(VLOOKUP(A66,'Reliability score'!$A:$D,4,0)="","",VLOOKUP(A66,'Reliability score'!$A:$D,4,0)),"")</f>
        <v xml:space="preserve"> </v>
      </c>
      <c r="AB66" s="37" t="str">
        <f>IFERROR(IF(VLOOKUP(A66,NRW!$A:$C,3,0)="","",VLOOKUP(A66,NRW!$A:$C,3,0)),"")</f>
        <v/>
      </c>
      <c r="AC66" s="37" t="str">
        <f>IFERROR(IF(VLOOKUP(A66,NRW!$A:$D,4,0)="","",VLOOKUP(A66,NRW!$A:$D,4,0)),"")</f>
        <v/>
      </c>
      <c r="AD66" s="37" t="str">
        <f>IFERROR(IF(VLOOKUP(A66,NRW!$A:$E,5,0)="","",VLOOKUP(A66,NRW!$A:$E,5,0)),"")</f>
        <v/>
      </c>
      <c r="AE66" s="37" t="str">
        <f>IFERROR(IF(VLOOKUP(A66,NRW!$A:$F,6,0)="","",VLOOKUP(A66,NRW!$A:$F,6,0)),"")</f>
        <v/>
      </c>
      <c r="AF66" s="37" t="str">
        <f>IFERROR(IF(VLOOKUP(A66,NRW!$A:$G,7,0)="","",VLOOKUP(A66,NRW!$A:$G,7,0)),"")</f>
        <v/>
      </c>
      <c r="AG66" s="37" t="str">
        <f>IFERROR(IF(OR(VLOOKUP(A66,NRW!$A:$H,8,0)="",VLOOKUP(A66,NRW!$A:$H,8,0)=0),"",VLOOKUP(A66,NRW!$A:$H,8,0)),"")</f>
        <v/>
      </c>
      <c r="AH66" s="87" t="str">
        <f>IFERROR(IF(VLOOKUP(A66,'O&amp;M score'!$A:$D,4,0)="","",VLOOKUP(A66,'O&amp;M score'!$A:$D,4,0)),"")</f>
        <v/>
      </c>
      <c r="AI66" s="87" t="str">
        <f>IFERROR(IF(VLOOKUP(A66,'O&amp;M score'!$A:$E,5,0)="","",VLOOKUP(A66,'O&amp;M score'!$A:$E,5,0)),"")</f>
        <v/>
      </c>
      <c r="AJ66" s="87" t="str">
        <f>IFERROR(IF(VLOOKUP(A66,'O&amp;M score'!$A:$F,6,0)="","",VLOOKUP(A66,'O&amp;M score'!$A:$F,6,0)),"")</f>
        <v/>
      </c>
      <c r="AK66" s="87" t="str">
        <f>IFERROR(IF(VLOOKUP(A66,'O&amp;M score'!$A:$G,7,0)="","",VLOOKUP(A66,'O&amp;M score'!$A:$G,7,0)),"")</f>
        <v/>
      </c>
      <c r="AL66" s="87" t="str">
        <f>IFERROR(IF(VLOOKUP(A66,'Metering Ratio Score'!$A:$C,3,0)="","",VLOOKUP(A66,'Metering Ratio Score'!$A:$C,3,0)),"")</f>
        <v/>
      </c>
      <c r="AM66" s="87" t="str">
        <f>IFERROR(IF(VLOOKUP(A66,'Metering Ratio Score'!$A:$D,4,0)="","",VLOOKUP(A66,'Metering Ratio Score'!$A:$D,4,0)),"")</f>
        <v/>
      </c>
      <c r="AN66" s="87" t="str">
        <f>IFERROR(IF(VLOOKUP(A66,'Metering Ratio Score'!$A:$E,5,0)="","",VLOOKUP(A66,'Metering Ratio Score'!$A:$E,5,0)),"")</f>
        <v/>
      </c>
      <c r="AO66" s="87" t="str">
        <f>IFERROR(IF(VLOOKUP(A66,'Metering Ratio Score'!$A:$F,6,0)="","",VLOOKUP(A66,'Metering Ratio Score'!$A:$F,6,0)),"")</f>
        <v/>
      </c>
      <c r="AP66" s="87" t="str">
        <f>IFERROR(IF(VLOOKUP(A66,'Grievance Addressal'!$A:$C,3,0)="","",VLOOKUP(A66,'Grievance Addressal'!$A:$C,3,0)),"")</f>
        <v/>
      </c>
      <c r="AQ66" s="87" t="str">
        <f>IFERROR(IF(VLOOKUP(A66,'Grievance Addressal'!$A:$D,4,0)="","",VLOOKUP(A66,'Grievance Addressal'!$A:$D,4,0)),"")</f>
        <v/>
      </c>
      <c r="AR66" s="87" t="str">
        <f>IFERROR(IF(VLOOKUP(A66,'Grievance Addressal'!$A:$E,5,0)="","",VLOOKUP(A66,'Grievance Addressal'!$A:$E,5,0)),"")</f>
        <v xml:space="preserve"> </v>
      </c>
      <c r="AS66" s="87" t="str">
        <f>IFERROR(IF(VLOOKUP(A66,Summary_Index!$A$5:$N$281,7,0)="","",VLOOKUP(A66,Summary_Index!$A$5:$N$281,7,0)),"")</f>
        <v/>
      </c>
      <c r="AT66" s="87" t="str">
        <f>IFERROR(IF(VLOOKUP(A66,Summary_Index!$A$5:$N$281,12,0)="","",VLOOKUP(A66,Summary_Index!$A$5:$N$281,12,0)),"")</f>
        <v/>
      </c>
      <c r="AU66" s="87" t="str">
        <f>IFERROR(IF(VLOOKUP(A66,Summary_Index!$A$5:$N$281,13,0)="","",VLOOKUP(A66,Summary_Index!$A$5:$N$281,13,0)),"")</f>
        <v/>
      </c>
      <c r="AV66" s="87" t="str">
        <f>IFERROR(IF(VLOOKUP(A66,Summary_Index!$A$5:$N$281,14,0)="","",VLOOKUP(A66,Summary_Index!$A$5:$N$281,14,0)),"")</f>
        <v/>
      </c>
    </row>
    <row r="67" spans="1:48" ht="45.6" customHeight="1" x14ac:dyDescent="0.3">
      <c r="A67" s="37">
        <f>Spatial!A67</f>
        <v>66</v>
      </c>
      <c r="B67" s="87">
        <f>Spatial!B67</f>
        <v>0</v>
      </c>
      <c r="C67" s="37">
        <f>Spatial!C67</f>
        <v>0</v>
      </c>
      <c r="D67" s="37">
        <f>Spatial!D67</f>
        <v>0</v>
      </c>
      <c r="E67" s="37">
        <f>Spatial!E67</f>
        <v>0</v>
      </c>
      <c r="F67" s="37">
        <f>Spatial!F67</f>
        <v>0</v>
      </c>
      <c r="G67" s="37">
        <f>IFERROR(Spatial!G67,"")</f>
        <v>0</v>
      </c>
      <c r="H67" s="37"/>
      <c r="I67" s="37"/>
      <c r="J67" s="37" t="str">
        <f t="shared" si="1"/>
        <v>0_0</v>
      </c>
      <c r="K67" s="37" t="str">
        <f>IFERROR(IF(VLOOKUP(A67,'Service Coverage'!$A:$C,3,0)="","",VLOOKUP(A67,'Service Coverage'!$A:$C,3,0)),"")</f>
        <v/>
      </c>
      <c r="L67" s="37" t="str">
        <f>IFERROR(IF(VLOOKUP(A67,'Service Coverage'!$A:$D,4,0)="","",VLOOKUP(A67,'Service Coverage'!$A:$D,4,0)),"")</f>
        <v/>
      </c>
      <c r="M67" s="37" t="str">
        <f>IFERROR(IF(VLOOKUP(A67,'Service Coverage'!$A:$E,5,0)="","",VLOOKUP(A67,'Service Coverage'!$A:$E,5,0)),"")</f>
        <v/>
      </c>
      <c r="N67" s="37" t="str">
        <f>IFERROR(IF(VLOOKUP(A67,'Service Coverage'!$A:$F,6,0)="","",VLOOKUP(A67,'Service Coverage'!$A:$F,6,0)),"")</f>
        <v/>
      </c>
      <c r="O67" s="37" t="str">
        <f>IFERROR(IF(VLOOKUP(A67,'Service Coverage'!$A:$G,7,0)="","",VLOOKUP(A67,'Service Coverage'!$A:$G,7,0)),"")</f>
        <v/>
      </c>
      <c r="P67" s="37" t="str">
        <f>IFERROR(IF(VLOOKUP(A67,Adequacy!$A:$C,3,0)="","",VLOOKUP(A67,Adequacy!$A:$C,3,0)),"")</f>
        <v/>
      </c>
      <c r="Q67" s="37" t="str">
        <f>IFERROR(IF(VLOOKUP(A67,Adequacy!$A:$D,4,0)="","",VLOOKUP(A67,Adequacy!$A:$D,4,0)),"")</f>
        <v/>
      </c>
      <c r="R67" s="37" t="str">
        <f>IFERROR(IF(VLOOKUP(A67,Adequacy!$A:$E,5,0)="","",VLOOKUP(A67,Adequacy!$A:$E,5,0)),"")</f>
        <v/>
      </c>
      <c r="S67" s="37" t="str">
        <f>IFERROR(IF(VLOOKUP(A67,Adequacy!$A:$G,7,0)="","",VLOOKUP(A67,Adequacy!$A:$G,7,0)),"")</f>
        <v/>
      </c>
      <c r="T67" s="37" t="str">
        <f>IFERROR(IF(VLOOKUP(A67,Adequacy!$A:$H,8,0)="","",VLOOKUP(A67,Adequacy!$A:$H,8,0)),"")</f>
        <v xml:space="preserve"> </v>
      </c>
      <c r="U67" s="37" t="str">
        <f>IFERROR(IF(VLOOKUP(A67,Adequacy!$A:$J,10,0)="","",VLOOKUP(A67,Adequacy!$A:$J,10,0)),"")</f>
        <v/>
      </c>
      <c r="V67" s="37" t="str">
        <f>IFERROR(IF(VLOOKUP(A67,'Water Quality Score'!$A:$C,3,0)="","",VLOOKUP(A67,'Water Quality Score'!$A:$C,3,0)),"")</f>
        <v/>
      </c>
      <c r="W67" s="37" t="str">
        <f>IFERROR(IF(VLOOKUP(A67,'Water Quality Score'!$A:$D,4,0)="","",VLOOKUP(A67,'Water Quality Score'!$A:$D,4,0)),"")</f>
        <v/>
      </c>
      <c r="X67" s="37" t="str">
        <f>IFERROR(IF(VLOOKUP(A67,'Water Quality Score'!$A:$E,5,0)="","",VLOOKUP(A67,'Water Quality Score'!$A:$E,5,0)),"")</f>
        <v/>
      </c>
      <c r="Y67" s="37">
        <f>IFERROR(IF(VLOOKUP(A67,'Water Quality Score'!$A:$F,6,0)="","",VLOOKUP(A67,'Water Quality Score'!$A:$F,6,0)),"")</f>
        <v>0</v>
      </c>
      <c r="Z67" s="37" t="str">
        <f>IFERROR(IF(VLOOKUP(A67,'Reliability score'!$A:$C,3,0)="","",VLOOKUP(A67,'Reliability score'!$A:$C,3,0)),"")</f>
        <v/>
      </c>
      <c r="AA67" s="37" t="str">
        <f>IFERROR(IF(VLOOKUP(A67,'Reliability score'!$A:$D,4,0)="","",VLOOKUP(A67,'Reliability score'!$A:$D,4,0)),"")</f>
        <v xml:space="preserve"> </v>
      </c>
      <c r="AB67" s="37" t="str">
        <f>IFERROR(IF(VLOOKUP(A67,NRW!$A:$C,3,0)="","",VLOOKUP(A67,NRW!$A:$C,3,0)),"")</f>
        <v/>
      </c>
      <c r="AC67" s="37" t="str">
        <f>IFERROR(IF(VLOOKUP(A67,NRW!$A:$D,4,0)="","",VLOOKUP(A67,NRW!$A:$D,4,0)),"")</f>
        <v/>
      </c>
      <c r="AD67" s="37" t="str">
        <f>IFERROR(IF(VLOOKUP(A67,NRW!$A:$E,5,0)="","",VLOOKUP(A67,NRW!$A:$E,5,0)),"")</f>
        <v/>
      </c>
      <c r="AE67" s="37" t="str">
        <f>IFERROR(IF(VLOOKUP(A67,NRW!$A:$F,6,0)="","",VLOOKUP(A67,NRW!$A:$F,6,0)),"")</f>
        <v/>
      </c>
      <c r="AF67" s="37" t="str">
        <f>IFERROR(IF(VLOOKUP(A67,NRW!$A:$G,7,0)="","",VLOOKUP(A67,NRW!$A:$G,7,0)),"")</f>
        <v/>
      </c>
      <c r="AG67" s="37" t="str">
        <f>IFERROR(IF(OR(VLOOKUP(A67,NRW!$A:$H,8,0)="",VLOOKUP(A67,NRW!$A:$H,8,0)=0),"",VLOOKUP(A67,NRW!$A:$H,8,0)),"")</f>
        <v/>
      </c>
      <c r="AH67" s="87" t="str">
        <f>IFERROR(IF(VLOOKUP(A67,'O&amp;M score'!$A:$D,4,0)="","",VLOOKUP(A67,'O&amp;M score'!$A:$D,4,0)),"")</f>
        <v/>
      </c>
      <c r="AI67" s="87" t="str">
        <f>IFERROR(IF(VLOOKUP(A67,'O&amp;M score'!$A:$E,5,0)="","",VLOOKUP(A67,'O&amp;M score'!$A:$E,5,0)),"")</f>
        <v/>
      </c>
      <c r="AJ67" s="87" t="str">
        <f>IFERROR(IF(VLOOKUP(A67,'O&amp;M score'!$A:$F,6,0)="","",VLOOKUP(A67,'O&amp;M score'!$A:$F,6,0)),"")</f>
        <v/>
      </c>
      <c r="AK67" s="87" t="str">
        <f>IFERROR(IF(VLOOKUP(A67,'O&amp;M score'!$A:$G,7,0)="","",VLOOKUP(A67,'O&amp;M score'!$A:$G,7,0)),"")</f>
        <v/>
      </c>
      <c r="AL67" s="87" t="str">
        <f>IFERROR(IF(VLOOKUP(A67,'Metering Ratio Score'!$A:$C,3,0)="","",VLOOKUP(A67,'Metering Ratio Score'!$A:$C,3,0)),"")</f>
        <v/>
      </c>
      <c r="AM67" s="87" t="str">
        <f>IFERROR(IF(VLOOKUP(A67,'Metering Ratio Score'!$A:$D,4,0)="","",VLOOKUP(A67,'Metering Ratio Score'!$A:$D,4,0)),"")</f>
        <v/>
      </c>
      <c r="AN67" s="87" t="str">
        <f>IFERROR(IF(VLOOKUP(A67,'Metering Ratio Score'!$A:$E,5,0)="","",VLOOKUP(A67,'Metering Ratio Score'!$A:$E,5,0)),"")</f>
        <v/>
      </c>
      <c r="AO67" s="87" t="str">
        <f>IFERROR(IF(VLOOKUP(A67,'Metering Ratio Score'!$A:$F,6,0)="","",VLOOKUP(A67,'Metering Ratio Score'!$A:$F,6,0)),"")</f>
        <v/>
      </c>
      <c r="AP67" s="87" t="str">
        <f>IFERROR(IF(VLOOKUP(A67,'Grievance Addressal'!$A:$C,3,0)="","",VLOOKUP(A67,'Grievance Addressal'!$A:$C,3,0)),"")</f>
        <v/>
      </c>
      <c r="AQ67" s="87" t="str">
        <f>IFERROR(IF(VLOOKUP(A67,'Grievance Addressal'!$A:$D,4,0)="","",VLOOKUP(A67,'Grievance Addressal'!$A:$D,4,0)),"")</f>
        <v/>
      </c>
      <c r="AR67" s="87" t="str">
        <f>IFERROR(IF(VLOOKUP(A67,'Grievance Addressal'!$A:$E,5,0)="","",VLOOKUP(A67,'Grievance Addressal'!$A:$E,5,0)),"")</f>
        <v xml:space="preserve"> </v>
      </c>
      <c r="AS67" s="87" t="str">
        <f>IFERROR(IF(VLOOKUP(A67,Summary_Index!$A$5:$N$281,7,0)="","",VLOOKUP(A67,Summary_Index!$A$5:$N$281,7,0)),"")</f>
        <v/>
      </c>
      <c r="AT67" s="87" t="str">
        <f>IFERROR(IF(VLOOKUP(A67,Summary_Index!$A$5:$N$281,12,0)="","",VLOOKUP(A67,Summary_Index!$A$5:$N$281,12,0)),"")</f>
        <v/>
      </c>
      <c r="AU67" s="87" t="str">
        <f>IFERROR(IF(VLOOKUP(A67,Summary_Index!$A$5:$N$281,13,0)="","",VLOOKUP(A67,Summary_Index!$A$5:$N$281,13,0)),"")</f>
        <v/>
      </c>
      <c r="AV67" s="87" t="str">
        <f>IFERROR(IF(VLOOKUP(A67,Summary_Index!$A$5:$N$281,14,0)="","",VLOOKUP(A67,Summary_Index!$A$5:$N$281,14,0)),"")</f>
        <v/>
      </c>
    </row>
    <row r="68" spans="1:48" ht="45.6" customHeight="1" x14ac:dyDescent="0.3">
      <c r="A68" s="37">
        <f>Spatial!A68</f>
        <v>67</v>
      </c>
      <c r="B68" s="87">
        <f>Spatial!B68</f>
        <v>0</v>
      </c>
      <c r="C68" s="37">
        <f>Spatial!C68</f>
        <v>0</v>
      </c>
      <c r="D68" s="37">
        <f>Spatial!D68</f>
        <v>0</v>
      </c>
      <c r="E68" s="37">
        <f>Spatial!E68</f>
        <v>0</v>
      </c>
      <c r="F68" s="37">
        <f>Spatial!F68</f>
        <v>0</v>
      </c>
      <c r="G68" s="37">
        <f>IFERROR(Spatial!G68,"")</f>
        <v>0</v>
      </c>
      <c r="H68" s="37"/>
      <c r="I68" s="37"/>
      <c r="J68" s="37" t="str">
        <f t="shared" si="1"/>
        <v>0_0</v>
      </c>
      <c r="K68" s="37" t="str">
        <f>IFERROR(IF(VLOOKUP(A68,'Service Coverage'!$A:$C,3,0)="","",VLOOKUP(A68,'Service Coverage'!$A:$C,3,0)),"")</f>
        <v/>
      </c>
      <c r="L68" s="37" t="str">
        <f>IFERROR(IF(VLOOKUP(A68,'Service Coverage'!$A:$D,4,0)="","",VLOOKUP(A68,'Service Coverage'!$A:$D,4,0)),"")</f>
        <v/>
      </c>
      <c r="M68" s="37" t="str">
        <f>IFERROR(IF(VLOOKUP(A68,'Service Coverage'!$A:$E,5,0)="","",VLOOKUP(A68,'Service Coverage'!$A:$E,5,0)),"")</f>
        <v/>
      </c>
      <c r="N68" s="37" t="str">
        <f>IFERROR(IF(VLOOKUP(A68,'Service Coverage'!$A:$F,6,0)="","",VLOOKUP(A68,'Service Coverage'!$A:$F,6,0)),"")</f>
        <v/>
      </c>
      <c r="O68" s="37" t="str">
        <f>IFERROR(IF(VLOOKUP(A68,'Service Coverage'!$A:$G,7,0)="","",VLOOKUP(A68,'Service Coverage'!$A:$G,7,0)),"")</f>
        <v/>
      </c>
      <c r="P68" s="37" t="str">
        <f>IFERROR(IF(VLOOKUP(A68,Adequacy!$A:$C,3,0)="","",VLOOKUP(A68,Adequacy!$A:$C,3,0)),"")</f>
        <v/>
      </c>
      <c r="Q68" s="37" t="str">
        <f>IFERROR(IF(VLOOKUP(A68,Adequacy!$A:$D,4,0)="","",VLOOKUP(A68,Adequacy!$A:$D,4,0)),"")</f>
        <v/>
      </c>
      <c r="R68" s="37" t="str">
        <f>IFERROR(IF(VLOOKUP(A68,Adequacy!$A:$E,5,0)="","",VLOOKUP(A68,Adequacy!$A:$E,5,0)),"")</f>
        <v/>
      </c>
      <c r="S68" s="37" t="str">
        <f>IFERROR(IF(VLOOKUP(A68,Adequacy!$A:$G,7,0)="","",VLOOKUP(A68,Adequacy!$A:$G,7,0)),"")</f>
        <v/>
      </c>
      <c r="T68" s="37" t="str">
        <f>IFERROR(IF(VLOOKUP(A68,Adequacy!$A:$H,8,0)="","",VLOOKUP(A68,Adequacy!$A:$H,8,0)),"")</f>
        <v xml:space="preserve"> </v>
      </c>
      <c r="U68" s="37" t="str">
        <f>IFERROR(IF(VLOOKUP(A68,Adequacy!$A:$J,10,0)="","",VLOOKUP(A68,Adequacy!$A:$J,10,0)),"")</f>
        <v/>
      </c>
      <c r="V68" s="37" t="str">
        <f>IFERROR(IF(VLOOKUP(A68,'Water Quality Score'!$A:$C,3,0)="","",VLOOKUP(A68,'Water Quality Score'!$A:$C,3,0)),"")</f>
        <v/>
      </c>
      <c r="W68" s="37" t="str">
        <f>IFERROR(IF(VLOOKUP(A68,'Water Quality Score'!$A:$D,4,0)="","",VLOOKUP(A68,'Water Quality Score'!$A:$D,4,0)),"")</f>
        <v/>
      </c>
      <c r="X68" s="37" t="str">
        <f>IFERROR(IF(VLOOKUP(A68,'Water Quality Score'!$A:$E,5,0)="","",VLOOKUP(A68,'Water Quality Score'!$A:$E,5,0)),"")</f>
        <v/>
      </c>
      <c r="Y68" s="37">
        <f>IFERROR(IF(VLOOKUP(A68,'Water Quality Score'!$A:$F,6,0)="","",VLOOKUP(A68,'Water Quality Score'!$A:$F,6,0)),"")</f>
        <v>0</v>
      </c>
      <c r="Z68" s="37" t="str">
        <f>IFERROR(IF(VLOOKUP(A68,'Reliability score'!$A:$C,3,0)="","",VLOOKUP(A68,'Reliability score'!$A:$C,3,0)),"")</f>
        <v/>
      </c>
      <c r="AA68" s="37" t="str">
        <f>IFERROR(IF(VLOOKUP(A68,'Reliability score'!$A:$D,4,0)="","",VLOOKUP(A68,'Reliability score'!$A:$D,4,0)),"")</f>
        <v xml:space="preserve"> </v>
      </c>
      <c r="AB68" s="37" t="str">
        <f>IFERROR(IF(VLOOKUP(A68,NRW!$A:$C,3,0)="","",VLOOKUP(A68,NRW!$A:$C,3,0)),"")</f>
        <v/>
      </c>
      <c r="AC68" s="37" t="str">
        <f>IFERROR(IF(VLOOKUP(A68,NRW!$A:$D,4,0)="","",VLOOKUP(A68,NRW!$A:$D,4,0)),"")</f>
        <v/>
      </c>
      <c r="AD68" s="37" t="str">
        <f>IFERROR(IF(VLOOKUP(A68,NRW!$A:$E,5,0)="","",VLOOKUP(A68,NRW!$A:$E,5,0)),"")</f>
        <v/>
      </c>
      <c r="AE68" s="37" t="str">
        <f>IFERROR(IF(VLOOKUP(A68,NRW!$A:$F,6,0)="","",VLOOKUP(A68,NRW!$A:$F,6,0)),"")</f>
        <v/>
      </c>
      <c r="AF68" s="37" t="str">
        <f>IFERROR(IF(VLOOKUP(A68,NRW!$A:$G,7,0)="","",VLOOKUP(A68,NRW!$A:$G,7,0)),"")</f>
        <v/>
      </c>
      <c r="AG68" s="37" t="str">
        <f>IFERROR(IF(OR(VLOOKUP(A68,NRW!$A:$H,8,0)="",VLOOKUP(A68,NRW!$A:$H,8,0)=0),"",VLOOKUP(A68,NRW!$A:$H,8,0)),"")</f>
        <v/>
      </c>
      <c r="AH68" s="87" t="str">
        <f>IFERROR(IF(VLOOKUP(A68,'O&amp;M score'!$A:$D,4,0)="","",VLOOKUP(A68,'O&amp;M score'!$A:$D,4,0)),"")</f>
        <v/>
      </c>
      <c r="AI68" s="87" t="str">
        <f>IFERROR(IF(VLOOKUP(A68,'O&amp;M score'!$A:$E,5,0)="","",VLOOKUP(A68,'O&amp;M score'!$A:$E,5,0)),"")</f>
        <v/>
      </c>
      <c r="AJ68" s="87" t="str">
        <f>IFERROR(IF(VLOOKUP(A68,'O&amp;M score'!$A:$F,6,0)="","",VLOOKUP(A68,'O&amp;M score'!$A:$F,6,0)),"")</f>
        <v/>
      </c>
      <c r="AK68" s="87" t="str">
        <f>IFERROR(IF(VLOOKUP(A68,'O&amp;M score'!$A:$G,7,0)="","",VLOOKUP(A68,'O&amp;M score'!$A:$G,7,0)),"")</f>
        <v/>
      </c>
      <c r="AL68" s="87" t="str">
        <f>IFERROR(IF(VLOOKUP(A68,'Metering Ratio Score'!$A:$C,3,0)="","",VLOOKUP(A68,'Metering Ratio Score'!$A:$C,3,0)),"")</f>
        <v/>
      </c>
      <c r="AM68" s="87" t="str">
        <f>IFERROR(IF(VLOOKUP(A68,'Metering Ratio Score'!$A:$D,4,0)="","",VLOOKUP(A68,'Metering Ratio Score'!$A:$D,4,0)),"")</f>
        <v/>
      </c>
      <c r="AN68" s="87" t="str">
        <f>IFERROR(IF(VLOOKUP(A68,'Metering Ratio Score'!$A:$E,5,0)="","",VLOOKUP(A68,'Metering Ratio Score'!$A:$E,5,0)),"")</f>
        <v/>
      </c>
      <c r="AO68" s="87" t="str">
        <f>IFERROR(IF(VLOOKUP(A68,'Metering Ratio Score'!$A:$F,6,0)="","",VLOOKUP(A68,'Metering Ratio Score'!$A:$F,6,0)),"")</f>
        <v/>
      </c>
      <c r="AP68" s="87" t="str">
        <f>IFERROR(IF(VLOOKUP(A68,'Grievance Addressal'!$A:$C,3,0)="","",VLOOKUP(A68,'Grievance Addressal'!$A:$C,3,0)),"")</f>
        <v/>
      </c>
      <c r="AQ68" s="87" t="str">
        <f>IFERROR(IF(VLOOKUP(A68,'Grievance Addressal'!$A:$D,4,0)="","",VLOOKUP(A68,'Grievance Addressal'!$A:$D,4,0)),"")</f>
        <v/>
      </c>
      <c r="AR68" s="87" t="str">
        <f>IFERROR(IF(VLOOKUP(A68,'Grievance Addressal'!$A:$E,5,0)="","",VLOOKUP(A68,'Grievance Addressal'!$A:$E,5,0)),"")</f>
        <v xml:space="preserve"> </v>
      </c>
      <c r="AS68" s="87" t="str">
        <f>IFERROR(IF(VLOOKUP(A68,Summary_Index!$A$5:$N$281,7,0)="","",VLOOKUP(A68,Summary_Index!$A$5:$N$281,7,0)),"")</f>
        <v/>
      </c>
      <c r="AT68" s="87" t="str">
        <f>IFERROR(IF(VLOOKUP(A68,Summary_Index!$A$5:$N$281,12,0)="","",VLOOKUP(A68,Summary_Index!$A$5:$N$281,12,0)),"")</f>
        <v/>
      </c>
      <c r="AU68" s="87" t="str">
        <f>IFERROR(IF(VLOOKUP(A68,Summary_Index!$A$5:$N$281,13,0)="","",VLOOKUP(A68,Summary_Index!$A$5:$N$281,13,0)),"")</f>
        <v/>
      </c>
      <c r="AV68" s="87" t="str">
        <f>IFERROR(IF(VLOOKUP(A68,Summary_Index!$A$5:$N$281,14,0)="","",VLOOKUP(A68,Summary_Index!$A$5:$N$281,14,0)),"")</f>
        <v/>
      </c>
    </row>
    <row r="69" spans="1:48" ht="45.6" customHeight="1" x14ac:dyDescent="0.3">
      <c r="A69" s="37">
        <f>Spatial!A69</f>
        <v>68</v>
      </c>
      <c r="B69" s="87">
        <f>Spatial!B69</f>
        <v>0</v>
      </c>
      <c r="C69" s="37">
        <f>Spatial!C69</f>
        <v>0</v>
      </c>
      <c r="D69" s="37">
        <f>Spatial!D69</f>
        <v>0</v>
      </c>
      <c r="E69" s="37">
        <f>Spatial!E69</f>
        <v>0</v>
      </c>
      <c r="F69" s="37">
        <f>Spatial!F69</f>
        <v>0</v>
      </c>
      <c r="G69" s="37">
        <f>IFERROR(Spatial!G69,"")</f>
        <v>0</v>
      </c>
      <c r="H69" s="37"/>
      <c r="I69" s="37"/>
      <c r="J69" s="37" t="str">
        <f t="shared" si="1"/>
        <v>0_0</v>
      </c>
      <c r="K69" s="37" t="str">
        <f>IFERROR(IF(VLOOKUP(A69,'Service Coverage'!$A:$C,3,0)="","",VLOOKUP(A69,'Service Coverage'!$A:$C,3,0)),"")</f>
        <v/>
      </c>
      <c r="L69" s="37" t="str">
        <f>IFERROR(IF(VLOOKUP(A69,'Service Coverage'!$A:$D,4,0)="","",VLOOKUP(A69,'Service Coverage'!$A:$D,4,0)),"")</f>
        <v/>
      </c>
      <c r="M69" s="37" t="str">
        <f>IFERROR(IF(VLOOKUP(A69,'Service Coverage'!$A:$E,5,0)="","",VLOOKUP(A69,'Service Coverage'!$A:$E,5,0)),"")</f>
        <v/>
      </c>
      <c r="N69" s="37" t="str">
        <f>IFERROR(IF(VLOOKUP(A69,'Service Coverage'!$A:$F,6,0)="","",VLOOKUP(A69,'Service Coverage'!$A:$F,6,0)),"")</f>
        <v/>
      </c>
      <c r="O69" s="37" t="str">
        <f>IFERROR(IF(VLOOKUP(A69,'Service Coverage'!$A:$G,7,0)="","",VLOOKUP(A69,'Service Coverage'!$A:$G,7,0)),"")</f>
        <v/>
      </c>
      <c r="P69" s="37" t="str">
        <f>IFERROR(IF(VLOOKUP(A69,Adequacy!$A:$C,3,0)="","",VLOOKUP(A69,Adequacy!$A:$C,3,0)),"")</f>
        <v/>
      </c>
      <c r="Q69" s="37" t="str">
        <f>IFERROR(IF(VLOOKUP(A69,Adequacy!$A:$D,4,0)="","",VLOOKUP(A69,Adequacy!$A:$D,4,0)),"")</f>
        <v/>
      </c>
      <c r="R69" s="37" t="str">
        <f>IFERROR(IF(VLOOKUP(A69,Adequacy!$A:$E,5,0)="","",VLOOKUP(A69,Adequacy!$A:$E,5,0)),"")</f>
        <v/>
      </c>
      <c r="S69" s="37" t="str">
        <f>IFERROR(IF(VLOOKUP(A69,Adequacy!$A:$G,7,0)="","",VLOOKUP(A69,Adequacy!$A:$G,7,0)),"")</f>
        <v/>
      </c>
      <c r="T69" s="37" t="str">
        <f>IFERROR(IF(VLOOKUP(A69,Adequacy!$A:$H,8,0)="","",VLOOKUP(A69,Adequacy!$A:$H,8,0)),"")</f>
        <v xml:space="preserve"> </v>
      </c>
      <c r="U69" s="37" t="str">
        <f>IFERROR(IF(VLOOKUP(A69,Adequacy!$A:$J,10,0)="","",VLOOKUP(A69,Adequacy!$A:$J,10,0)),"")</f>
        <v/>
      </c>
      <c r="V69" s="37" t="str">
        <f>IFERROR(IF(VLOOKUP(A69,'Water Quality Score'!$A:$C,3,0)="","",VLOOKUP(A69,'Water Quality Score'!$A:$C,3,0)),"")</f>
        <v/>
      </c>
      <c r="W69" s="37" t="str">
        <f>IFERROR(IF(VLOOKUP(A69,'Water Quality Score'!$A:$D,4,0)="","",VLOOKUP(A69,'Water Quality Score'!$A:$D,4,0)),"")</f>
        <v/>
      </c>
      <c r="X69" s="37" t="str">
        <f>IFERROR(IF(VLOOKUP(A69,'Water Quality Score'!$A:$E,5,0)="","",VLOOKUP(A69,'Water Quality Score'!$A:$E,5,0)),"")</f>
        <v/>
      </c>
      <c r="Y69" s="37">
        <f>IFERROR(IF(VLOOKUP(A69,'Water Quality Score'!$A:$F,6,0)="","",VLOOKUP(A69,'Water Quality Score'!$A:$F,6,0)),"")</f>
        <v>0</v>
      </c>
      <c r="Z69" s="37" t="str">
        <f>IFERROR(IF(VLOOKUP(A69,'Reliability score'!$A:$C,3,0)="","",VLOOKUP(A69,'Reliability score'!$A:$C,3,0)),"")</f>
        <v/>
      </c>
      <c r="AA69" s="37" t="str">
        <f>IFERROR(IF(VLOOKUP(A69,'Reliability score'!$A:$D,4,0)="","",VLOOKUP(A69,'Reliability score'!$A:$D,4,0)),"")</f>
        <v xml:space="preserve"> </v>
      </c>
      <c r="AB69" s="37" t="str">
        <f>IFERROR(IF(VLOOKUP(A69,NRW!$A:$C,3,0)="","",VLOOKUP(A69,NRW!$A:$C,3,0)),"")</f>
        <v/>
      </c>
      <c r="AC69" s="37" t="str">
        <f>IFERROR(IF(VLOOKUP(A69,NRW!$A:$D,4,0)="","",VLOOKUP(A69,NRW!$A:$D,4,0)),"")</f>
        <v/>
      </c>
      <c r="AD69" s="37" t="str">
        <f>IFERROR(IF(VLOOKUP(A69,NRW!$A:$E,5,0)="","",VLOOKUP(A69,NRW!$A:$E,5,0)),"")</f>
        <v/>
      </c>
      <c r="AE69" s="37" t="str">
        <f>IFERROR(IF(VLOOKUP(A69,NRW!$A:$F,6,0)="","",VLOOKUP(A69,NRW!$A:$F,6,0)),"")</f>
        <v/>
      </c>
      <c r="AF69" s="37" t="str">
        <f>IFERROR(IF(VLOOKUP(A69,NRW!$A:$G,7,0)="","",VLOOKUP(A69,NRW!$A:$G,7,0)),"")</f>
        <v/>
      </c>
      <c r="AG69" s="37" t="str">
        <f>IFERROR(IF(OR(VLOOKUP(A69,NRW!$A:$H,8,0)="",VLOOKUP(A69,NRW!$A:$H,8,0)=0),"",VLOOKUP(A69,NRW!$A:$H,8,0)),"")</f>
        <v/>
      </c>
      <c r="AH69" s="87" t="str">
        <f>IFERROR(IF(VLOOKUP(A69,'O&amp;M score'!$A:$D,4,0)="","",VLOOKUP(A69,'O&amp;M score'!$A:$D,4,0)),"")</f>
        <v/>
      </c>
      <c r="AI69" s="87" t="str">
        <f>IFERROR(IF(VLOOKUP(A69,'O&amp;M score'!$A:$E,5,0)="","",VLOOKUP(A69,'O&amp;M score'!$A:$E,5,0)),"")</f>
        <v/>
      </c>
      <c r="AJ69" s="87" t="str">
        <f>IFERROR(IF(VLOOKUP(A69,'O&amp;M score'!$A:$F,6,0)="","",VLOOKUP(A69,'O&amp;M score'!$A:$F,6,0)),"")</f>
        <v/>
      </c>
      <c r="AK69" s="87" t="str">
        <f>IFERROR(IF(VLOOKUP(A69,'O&amp;M score'!$A:$G,7,0)="","",VLOOKUP(A69,'O&amp;M score'!$A:$G,7,0)),"")</f>
        <v/>
      </c>
      <c r="AL69" s="87" t="str">
        <f>IFERROR(IF(VLOOKUP(A69,'Metering Ratio Score'!$A:$C,3,0)="","",VLOOKUP(A69,'Metering Ratio Score'!$A:$C,3,0)),"")</f>
        <v/>
      </c>
      <c r="AM69" s="87" t="str">
        <f>IFERROR(IF(VLOOKUP(A69,'Metering Ratio Score'!$A:$D,4,0)="","",VLOOKUP(A69,'Metering Ratio Score'!$A:$D,4,0)),"")</f>
        <v/>
      </c>
      <c r="AN69" s="87" t="str">
        <f>IFERROR(IF(VLOOKUP(A69,'Metering Ratio Score'!$A:$E,5,0)="","",VLOOKUP(A69,'Metering Ratio Score'!$A:$E,5,0)),"")</f>
        <v/>
      </c>
      <c r="AO69" s="87" t="str">
        <f>IFERROR(IF(VLOOKUP(A69,'Metering Ratio Score'!$A:$F,6,0)="","",VLOOKUP(A69,'Metering Ratio Score'!$A:$F,6,0)),"")</f>
        <v/>
      </c>
      <c r="AP69" s="87" t="str">
        <f>IFERROR(IF(VLOOKUP(A69,'Grievance Addressal'!$A:$C,3,0)="","",VLOOKUP(A69,'Grievance Addressal'!$A:$C,3,0)),"")</f>
        <v/>
      </c>
      <c r="AQ69" s="87" t="str">
        <f>IFERROR(IF(VLOOKUP(A69,'Grievance Addressal'!$A:$D,4,0)="","",VLOOKUP(A69,'Grievance Addressal'!$A:$D,4,0)),"")</f>
        <v/>
      </c>
      <c r="AR69" s="87" t="str">
        <f>IFERROR(IF(VLOOKUP(A69,'Grievance Addressal'!$A:$E,5,0)="","",VLOOKUP(A69,'Grievance Addressal'!$A:$E,5,0)),"")</f>
        <v xml:space="preserve"> </v>
      </c>
      <c r="AS69" s="87" t="str">
        <f>IFERROR(IF(VLOOKUP(A69,Summary_Index!$A$5:$N$281,7,0)="","",VLOOKUP(A69,Summary_Index!$A$5:$N$281,7,0)),"")</f>
        <v/>
      </c>
      <c r="AT69" s="87" t="str">
        <f>IFERROR(IF(VLOOKUP(A69,Summary_Index!$A$5:$N$281,12,0)="","",VLOOKUP(A69,Summary_Index!$A$5:$N$281,12,0)),"")</f>
        <v/>
      </c>
      <c r="AU69" s="87" t="str">
        <f>IFERROR(IF(VLOOKUP(A69,Summary_Index!$A$5:$N$281,13,0)="","",VLOOKUP(A69,Summary_Index!$A$5:$N$281,13,0)),"")</f>
        <v/>
      </c>
      <c r="AV69" s="87" t="str">
        <f>IFERROR(IF(VLOOKUP(A69,Summary_Index!$A$5:$N$281,14,0)="","",VLOOKUP(A69,Summary_Index!$A$5:$N$281,14,0)),"")</f>
        <v/>
      </c>
    </row>
    <row r="70" spans="1:48" ht="45.6" customHeight="1" x14ac:dyDescent="0.3">
      <c r="A70" s="37">
        <f>Spatial!A70</f>
        <v>69</v>
      </c>
      <c r="B70" s="87">
        <f>Spatial!B70</f>
        <v>0</v>
      </c>
      <c r="C70" s="37">
        <f>Spatial!C70</f>
        <v>0</v>
      </c>
      <c r="D70" s="37">
        <f>Spatial!D70</f>
        <v>0</v>
      </c>
      <c r="E70" s="37">
        <f>Spatial!E70</f>
        <v>0</v>
      </c>
      <c r="F70" s="37">
        <f>Spatial!F70</f>
        <v>0</v>
      </c>
      <c r="G70" s="37">
        <f>IFERROR(Spatial!G70,"")</f>
        <v>0</v>
      </c>
      <c r="H70" s="37"/>
      <c r="I70" s="37"/>
      <c r="J70" s="37" t="str">
        <f t="shared" si="1"/>
        <v>0_0</v>
      </c>
      <c r="K70" s="37" t="str">
        <f>IFERROR(IF(VLOOKUP(A70,'Service Coverage'!$A:$C,3,0)="","",VLOOKUP(A70,'Service Coverage'!$A:$C,3,0)),"")</f>
        <v/>
      </c>
      <c r="L70" s="37" t="str">
        <f>IFERROR(IF(VLOOKUP(A70,'Service Coverage'!$A:$D,4,0)="","",VLOOKUP(A70,'Service Coverage'!$A:$D,4,0)),"")</f>
        <v/>
      </c>
      <c r="M70" s="37" t="str">
        <f>IFERROR(IF(VLOOKUP(A70,'Service Coverage'!$A:$E,5,0)="","",VLOOKUP(A70,'Service Coverage'!$A:$E,5,0)),"")</f>
        <v/>
      </c>
      <c r="N70" s="37" t="str">
        <f>IFERROR(IF(VLOOKUP(A70,'Service Coverage'!$A:$F,6,0)="","",VLOOKUP(A70,'Service Coverage'!$A:$F,6,0)),"")</f>
        <v/>
      </c>
      <c r="O70" s="37" t="str">
        <f>IFERROR(IF(VLOOKUP(A70,'Service Coverage'!$A:$G,7,0)="","",VLOOKUP(A70,'Service Coverage'!$A:$G,7,0)),"")</f>
        <v/>
      </c>
      <c r="P70" s="37" t="str">
        <f>IFERROR(IF(VLOOKUP(A70,Adequacy!$A:$C,3,0)="","",VLOOKUP(A70,Adequacy!$A:$C,3,0)),"")</f>
        <v/>
      </c>
      <c r="Q70" s="37" t="str">
        <f>IFERROR(IF(VLOOKUP(A70,Adequacy!$A:$D,4,0)="","",VLOOKUP(A70,Adequacy!$A:$D,4,0)),"")</f>
        <v/>
      </c>
      <c r="R70" s="37" t="str">
        <f>IFERROR(IF(VLOOKUP(A70,Adequacy!$A:$E,5,0)="","",VLOOKUP(A70,Adequacy!$A:$E,5,0)),"")</f>
        <v/>
      </c>
      <c r="S70" s="37" t="str">
        <f>IFERROR(IF(VLOOKUP(A70,Adequacy!$A:$G,7,0)="","",VLOOKUP(A70,Adequacy!$A:$G,7,0)),"")</f>
        <v/>
      </c>
      <c r="T70" s="37" t="str">
        <f>IFERROR(IF(VLOOKUP(A70,Adequacy!$A:$H,8,0)="","",VLOOKUP(A70,Adequacy!$A:$H,8,0)),"")</f>
        <v xml:space="preserve"> </v>
      </c>
      <c r="U70" s="37" t="str">
        <f>IFERROR(IF(VLOOKUP(A70,Adequacy!$A:$J,10,0)="","",VLOOKUP(A70,Adequacy!$A:$J,10,0)),"")</f>
        <v/>
      </c>
      <c r="V70" s="37" t="str">
        <f>IFERROR(IF(VLOOKUP(A70,'Water Quality Score'!$A:$C,3,0)="","",VLOOKUP(A70,'Water Quality Score'!$A:$C,3,0)),"")</f>
        <v/>
      </c>
      <c r="W70" s="37" t="str">
        <f>IFERROR(IF(VLOOKUP(A70,'Water Quality Score'!$A:$D,4,0)="","",VLOOKUP(A70,'Water Quality Score'!$A:$D,4,0)),"")</f>
        <v/>
      </c>
      <c r="X70" s="37" t="str">
        <f>IFERROR(IF(VLOOKUP(A70,'Water Quality Score'!$A:$E,5,0)="","",VLOOKUP(A70,'Water Quality Score'!$A:$E,5,0)),"")</f>
        <v/>
      </c>
      <c r="Y70" s="37">
        <f>IFERROR(IF(VLOOKUP(A70,'Water Quality Score'!$A:$F,6,0)="","",VLOOKUP(A70,'Water Quality Score'!$A:$F,6,0)),"")</f>
        <v>0</v>
      </c>
      <c r="Z70" s="37" t="str">
        <f>IFERROR(IF(VLOOKUP(A70,'Reliability score'!$A:$C,3,0)="","",VLOOKUP(A70,'Reliability score'!$A:$C,3,0)),"")</f>
        <v/>
      </c>
      <c r="AA70" s="37" t="str">
        <f>IFERROR(IF(VLOOKUP(A70,'Reliability score'!$A:$D,4,0)="","",VLOOKUP(A70,'Reliability score'!$A:$D,4,0)),"")</f>
        <v xml:space="preserve"> </v>
      </c>
      <c r="AB70" s="37" t="str">
        <f>IFERROR(IF(VLOOKUP(A70,NRW!$A:$C,3,0)="","",VLOOKUP(A70,NRW!$A:$C,3,0)),"")</f>
        <v/>
      </c>
      <c r="AC70" s="37" t="str">
        <f>IFERROR(IF(VLOOKUP(A70,NRW!$A:$D,4,0)="","",VLOOKUP(A70,NRW!$A:$D,4,0)),"")</f>
        <v/>
      </c>
      <c r="AD70" s="37" t="str">
        <f>IFERROR(IF(VLOOKUP(A70,NRW!$A:$E,5,0)="","",VLOOKUP(A70,NRW!$A:$E,5,0)),"")</f>
        <v/>
      </c>
      <c r="AE70" s="37" t="str">
        <f>IFERROR(IF(VLOOKUP(A70,NRW!$A:$F,6,0)="","",VLOOKUP(A70,NRW!$A:$F,6,0)),"")</f>
        <v/>
      </c>
      <c r="AF70" s="37" t="str">
        <f>IFERROR(IF(VLOOKUP(A70,NRW!$A:$G,7,0)="","",VLOOKUP(A70,NRW!$A:$G,7,0)),"")</f>
        <v/>
      </c>
      <c r="AG70" s="37" t="str">
        <f>IFERROR(IF(OR(VLOOKUP(A70,NRW!$A:$H,8,0)="",VLOOKUP(A70,NRW!$A:$H,8,0)=0),"",VLOOKUP(A70,NRW!$A:$H,8,0)),"")</f>
        <v/>
      </c>
      <c r="AH70" s="87" t="str">
        <f>IFERROR(IF(VLOOKUP(A70,'O&amp;M score'!$A:$D,4,0)="","",VLOOKUP(A70,'O&amp;M score'!$A:$D,4,0)),"")</f>
        <v/>
      </c>
      <c r="AI70" s="87" t="str">
        <f>IFERROR(IF(VLOOKUP(A70,'O&amp;M score'!$A:$E,5,0)="","",VLOOKUP(A70,'O&amp;M score'!$A:$E,5,0)),"")</f>
        <v/>
      </c>
      <c r="AJ70" s="87" t="str">
        <f>IFERROR(IF(VLOOKUP(A70,'O&amp;M score'!$A:$F,6,0)="","",VLOOKUP(A70,'O&amp;M score'!$A:$F,6,0)),"")</f>
        <v/>
      </c>
      <c r="AK70" s="87" t="str">
        <f>IFERROR(IF(VLOOKUP(A70,'O&amp;M score'!$A:$G,7,0)="","",VLOOKUP(A70,'O&amp;M score'!$A:$G,7,0)),"")</f>
        <v/>
      </c>
      <c r="AL70" s="87" t="str">
        <f>IFERROR(IF(VLOOKUP(A70,'Metering Ratio Score'!$A:$C,3,0)="","",VLOOKUP(A70,'Metering Ratio Score'!$A:$C,3,0)),"")</f>
        <v/>
      </c>
      <c r="AM70" s="87" t="str">
        <f>IFERROR(IF(VLOOKUP(A70,'Metering Ratio Score'!$A:$D,4,0)="","",VLOOKUP(A70,'Metering Ratio Score'!$A:$D,4,0)),"")</f>
        <v/>
      </c>
      <c r="AN70" s="87" t="str">
        <f>IFERROR(IF(VLOOKUP(A70,'Metering Ratio Score'!$A:$E,5,0)="","",VLOOKUP(A70,'Metering Ratio Score'!$A:$E,5,0)),"")</f>
        <v/>
      </c>
      <c r="AO70" s="87" t="str">
        <f>IFERROR(IF(VLOOKUP(A70,'Metering Ratio Score'!$A:$F,6,0)="","",VLOOKUP(A70,'Metering Ratio Score'!$A:$F,6,0)),"")</f>
        <v/>
      </c>
      <c r="AP70" s="87" t="str">
        <f>IFERROR(IF(VLOOKUP(A70,'Grievance Addressal'!$A:$C,3,0)="","",VLOOKUP(A70,'Grievance Addressal'!$A:$C,3,0)),"")</f>
        <v/>
      </c>
      <c r="AQ70" s="87" t="str">
        <f>IFERROR(IF(VLOOKUP(A70,'Grievance Addressal'!$A:$D,4,0)="","",VLOOKUP(A70,'Grievance Addressal'!$A:$D,4,0)),"")</f>
        <v/>
      </c>
      <c r="AR70" s="87" t="str">
        <f>IFERROR(IF(VLOOKUP(A70,'Grievance Addressal'!$A:$E,5,0)="","",VLOOKUP(A70,'Grievance Addressal'!$A:$E,5,0)),"")</f>
        <v xml:space="preserve"> </v>
      </c>
      <c r="AS70" s="87" t="str">
        <f>IFERROR(IF(VLOOKUP(A70,Summary_Index!$A$5:$N$281,7,0)="","",VLOOKUP(A70,Summary_Index!$A$5:$N$281,7,0)),"")</f>
        <v/>
      </c>
      <c r="AT70" s="87" t="str">
        <f>IFERROR(IF(VLOOKUP(A70,Summary_Index!$A$5:$N$281,12,0)="","",VLOOKUP(A70,Summary_Index!$A$5:$N$281,12,0)),"")</f>
        <v/>
      </c>
      <c r="AU70" s="87" t="str">
        <f>IFERROR(IF(VLOOKUP(A70,Summary_Index!$A$5:$N$281,13,0)="","",VLOOKUP(A70,Summary_Index!$A$5:$N$281,13,0)),"")</f>
        <v/>
      </c>
      <c r="AV70" s="87" t="str">
        <f>IFERROR(IF(VLOOKUP(A70,Summary_Index!$A$5:$N$281,14,0)="","",VLOOKUP(A70,Summary_Index!$A$5:$N$281,14,0)),"")</f>
        <v/>
      </c>
    </row>
    <row r="71" spans="1:48" ht="45.6" customHeight="1" x14ac:dyDescent="0.3">
      <c r="A71" s="37">
        <f>Spatial!A71</f>
        <v>70</v>
      </c>
      <c r="B71" s="87">
        <f>Spatial!B71</f>
        <v>0</v>
      </c>
      <c r="C71" s="37">
        <f>Spatial!C71</f>
        <v>0</v>
      </c>
      <c r="D71" s="37">
        <f>Spatial!D71</f>
        <v>0</v>
      </c>
      <c r="E71" s="37">
        <f>Spatial!E71</f>
        <v>0</v>
      </c>
      <c r="F71" s="37">
        <f>Spatial!F71</f>
        <v>0</v>
      </c>
      <c r="G71" s="37">
        <f>IFERROR(Spatial!G71,"")</f>
        <v>0</v>
      </c>
      <c r="H71" s="37"/>
      <c r="I71" s="37"/>
      <c r="J71" s="37" t="str">
        <f t="shared" si="1"/>
        <v>0_0</v>
      </c>
      <c r="K71" s="37" t="str">
        <f>IFERROR(IF(VLOOKUP(A71,'Service Coverage'!$A:$C,3,0)="","",VLOOKUP(A71,'Service Coverage'!$A:$C,3,0)),"")</f>
        <v/>
      </c>
      <c r="L71" s="37" t="str">
        <f>IFERROR(IF(VLOOKUP(A71,'Service Coverage'!$A:$D,4,0)="","",VLOOKUP(A71,'Service Coverage'!$A:$D,4,0)),"")</f>
        <v/>
      </c>
      <c r="M71" s="37" t="str">
        <f>IFERROR(IF(VLOOKUP(A71,'Service Coverage'!$A:$E,5,0)="","",VLOOKUP(A71,'Service Coverage'!$A:$E,5,0)),"")</f>
        <v/>
      </c>
      <c r="N71" s="37" t="str">
        <f>IFERROR(IF(VLOOKUP(A71,'Service Coverage'!$A:$F,6,0)="","",VLOOKUP(A71,'Service Coverage'!$A:$F,6,0)),"")</f>
        <v/>
      </c>
      <c r="O71" s="37" t="str">
        <f>IFERROR(IF(VLOOKUP(A71,'Service Coverage'!$A:$G,7,0)="","",VLOOKUP(A71,'Service Coverage'!$A:$G,7,0)),"")</f>
        <v/>
      </c>
      <c r="P71" s="37" t="str">
        <f>IFERROR(IF(VLOOKUP(A71,Adequacy!$A:$C,3,0)="","",VLOOKUP(A71,Adequacy!$A:$C,3,0)),"")</f>
        <v/>
      </c>
      <c r="Q71" s="37" t="str">
        <f>IFERROR(IF(VLOOKUP(A71,Adequacy!$A:$D,4,0)="","",VLOOKUP(A71,Adequacy!$A:$D,4,0)),"")</f>
        <v/>
      </c>
      <c r="R71" s="37" t="str">
        <f>IFERROR(IF(VLOOKUP(A71,Adequacy!$A:$E,5,0)="","",VLOOKUP(A71,Adequacy!$A:$E,5,0)),"")</f>
        <v/>
      </c>
      <c r="S71" s="37" t="str">
        <f>IFERROR(IF(VLOOKUP(A71,Adequacy!$A:$G,7,0)="","",VLOOKUP(A71,Adequacy!$A:$G,7,0)),"")</f>
        <v/>
      </c>
      <c r="T71" s="37" t="str">
        <f>IFERROR(IF(VLOOKUP(A71,Adequacy!$A:$H,8,0)="","",VLOOKUP(A71,Adequacy!$A:$H,8,0)),"")</f>
        <v xml:space="preserve"> </v>
      </c>
      <c r="U71" s="37" t="str">
        <f>IFERROR(IF(VLOOKUP(A71,Adequacy!$A:$J,10,0)="","",VLOOKUP(A71,Adequacy!$A:$J,10,0)),"")</f>
        <v/>
      </c>
      <c r="V71" s="37" t="str">
        <f>IFERROR(IF(VLOOKUP(A71,'Water Quality Score'!$A:$C,3,0)="","",VLOOKUP(A71,'Water Quality Score'!$A:$C,3,0)),"")</f>
        <v/>
      </c>
      <c r="W71" s="37" t="str">
        <f>IFERROR(IF(VLOOKUP(A71,'Water Quality Score'!$A:$D,4,0)="","",VLOOKUP(A71,'Water Quality Score'!$A:$D,4,0)),"")</f>
        <v/>
      </c>
      <c r="X71" s="37" t="str">
        <f>IFERROR(IF(VLOOKUP(A71,'Water Quality Score'!$A:$E,5,0)="","",VLOOKUP(A71,'Water Quality Score'!$A:$E,5,0)),"")</f>
        <v/>
      </c>
      <c r="Y71" s="37">
        <f>IFERROR(IF(VLOOKUP(A71,'Water Quality Score'!$A:$F,6,0)="","",VLOOKUP(A71,'Water Quality Score'!$A:$F,6,0)),"")</f>
        <v>0</v>
      </c>
      <c r="Z71" s="37" t="str">
        <f>IFERROR(IF(VLOOKUP(A71,'Reliability score'!$A:$C,3,0)="","",VLOOKUP(A71,'Reliability score'!$A:$C,3,0)),"")</f>
        <v/>
      </c>
      <c r="AA71" s="37" t="str">
        <f>IFERROR(IF(VLOOKUP(A71,'Reliability score'!$A:$D,4,0)="","",VLOOKUP(A71,'Reliability score'!$A:$D,4,0)),"")</f>
        <v xml:space="preserve"> </v>
      </c>
      <c r="AB71" s="37" t="str">
        <f>IFERROR(IF(VLOOKUP(A71,NRW!$A:$C,3,0)="","",VLOOKUP(A71,NRW!$A:$C,3,0)),"")</f>
        <v/>
      </c>
      <c r="AC71" s="37" t="str">
        <f>IFERROR(IF(VLOOKUP(A71,NRW!$A:$D,4,0)="","",VLOOKUP(A71,NRW!$A:$D,4,0)),"")</f>
        <v/>
      </c>
      <c r="AD71" s="37" t="str">
        <f>IFERROR(IF(VLOOKUP(A71,NRW!$A:$E,5,0)="","",VLOOKUP(A71,NRW!$A:$E,5,0)),"")</f>
        <v/>
      </c>
      <c r="AE71" s="37" t="str">
        <f>IFERROR(IF(VLOOKUP(A71,NRW!$A:$F,6,0)="","",VLOOKUP(A71,NRW!$A:$F,6,0)),"")</f>
        <v/>
      </c>
      <c r="AF71" s="37" t="str">
        <f>IFERROR(IF(VLOOKUP(A71,NRW!$A:$G,7,0)="","",VLOOKUP(A71,NRW!$A:$G,7,0)),"")</f>
        <v/>
      </c>
      <c r="AG71" s="37" t="str">
        <f>IFERROR(IF(OR(VLOOKUP(A71,NRW!$A:$H,8,0)="",VLOOKUP(A71,NRW!$A:$H,8,0)=0),"",VLOOKUP(A71,NRW!$A:$H,8,0)),"")</f>
        <v/>
      </c>
      <c r="AH71" s="87" t="str">
        <f>IFERROR(IF(VLOOKUP(A71,'O&amp;M score'!$A:$D,4,0)="","",VLOOKUP(A71,'O&amp;M score'!$A:$D,4,0)),"")</f>
        <v/>
      </c>
      <c r="AI71" s="87" t="str">
        <f>IFERROR(IF(VLOOKUP(A71,'O&amp;M score'!$A:$E,5,0)="","",VLOOKUP(A71,'O&amp;M score'!$A:$E,5,0)),"")</f>
        <v/>
      </c>
      <c r="AJ71" s="87" t="str">
        <f>IFERROR(IF(VLOOKUP(A71,'O&amp;M score'!$A:$F,6,0)="","",VLOOKUP(A71,'O&amp;M score'!$A:$F,6,0)),"")</f>
        <v/>
      </c>
      <c r="AK71" s="87" t="str">
        <f>IFERROR(IF(VLOOKUP(A71,'O&amp;M score'!$A:$G,7,0)="","",VLOOKUP(A71,'O&amp;M score'!$A:$G,7,0)),"")</f>
        <v/>
      </c>
      <c r="AL71" s="87" t="str">
        <f>IFERROR(IF(VLOOKUP(A71,'Metering Ratio Score'!$A:$C,3,0)="","",VLOOKUP(A71,'Metering Ratio Score'!$A:$C,3,0)),"")</f>
        <v/>
      </c>
      <c r="AM71" s="87" t="str">
        <f>IFERROR(IF(VLOOKUP(A71,'Metering Ratio Score'!$A:$D,4,0)="","",VLOOKUP(A71,'Metering Ratio Score'!$A:$D,4,0)),"")</f>
        <v/>
      </c>
      <c r="AN71" s="87" t="str">
        <f>IFERROR(IF(VLOOKUP(A71,'Metering Ratio Score'!$A:$E,5,0)="","",VLOOKUP(A71,'Metering Ratio Score'!$A:$E,5,0)),"")</f>
        <v/>
      </c>
      <c r="AO71" s="87" t="str">
        <f>IFERROR(IF(VLOOKUP(A71,'Metering Ratio Score'!$A:$F,6,0)="","",VLOOKUP(A71,'Metering Ratio Score'!$A:$F,6,0)),"")</f>
        <v/>
      </c>
      <c r="AP71" s="87" t="str">
        <f>IFERROR(IF(VLOOKUP(A71,'Grievance Addressal'!$A:$C,3,0)="","",VLOOKUP(A71,'Grievance Addressal'!$A:$C,3,0)),"")</f>
        <v/>
      </c>
      <c r="AQ71" s="87" t="str">
        <f>IFERROR(IF(VLOOKUP(A71,'Grievance Addressal'!$A:$D,4,0)="","",VLOOKUP(A71,'Grievance Addressal'!$A:$D,4,0)),"")</f>
        <v/>
      </c>
      <c r="AR71" s="87" t="str">
        <f>IFERROR(IF(VLOOKUP(A71,'Grievance Addressal'!$A:$E,5,0)="","",VLOOKUP(A71,'Grievance Addressal'!$A:$E,5,0)),"")</f>
        <v xml:space="preserve"> </v>
      </c>
      <c r="AS71" s="87" t="str">
        <f>IFERROR(IF(VLOOKUP(A71,Summary_Index!$A$5:$N$281,7,0)="","",VLOOKUP(A71,Summary_Index!$A$5:$N$281,7,0)),"")</f>
        <v/>
      </c>
      <c r="AT71" s="87" t="str">
        <f>IFERROR(IF(VLOOKUP(A71,Summary_Index!$A$5:$N$281,12,0)="","",VLOOKUP(A71,Summary_Index!$A$5:$N$281,12,0)),"")</f>
        <v/>
      </c>
      <c r="AU71" s="87" t="str">
        <f>IFERROR(IF(VLOOKUP(A71,Summary_Index!$A$5:$N$281,13,0)="","",VLOOKUP(A71,Summary_Index!$A$5:$N$281,13,0)),"")</f>
        <v/>
      </c>
      <c r="AV71" s="87" t="str">
        <f>IFERROR(IF(VLOOKUP(A71,Summary_Index!$A$5:$N$281,14,0)="","",VLOOKUP(A71,Summary_Index!$A$5:$N$281,14,0)),"")</f>
        <v/>
      </c>
    </row>
    <row r="72" spans="1:48" ht="45.6" customHeight="1" x14ac:dyDescent="0.3">
      <c r="A72" s="87">
        <f>Spatial!A72</f>
        <v>71</v>
      </c>
      <c r="B72" s="87">
        <f>Spatial!B72</f>
        <v>0</v>
      </c>
      <c r="C72" s="87">
        <f>Spatial!C72</f>
        <v>0</v>
      </c>
      <c r="D72" s="87">
        <f>Spatial!D72</f>
        <v>0</v>
      </c>
      <c r="E72" s="87">
        <f>Spatial!E72</f>
        <v>0</v>
      </c>
      <c r="F72" s="37">
        <f>Spatial!F72</f>
        <v>0</v>
      </c>
      <c r="G72" s="37">
        <f>IFERROR(Spatial!G72,"")</f>
        <v>0</v>
      </c>
      <c r="H72" s="37"/>
      <c r="I72" s="37"/>
      <c r="J72" s="37" t="str">
        <f t="shared" si="1"/>
        <v>0_0</v>
      </c>
      <c r="K72" s="37" t="str">
        <f>IFERROR(IF(VLOOKUP(A72,'Service Coverage'!$A:$C,3,0)="","",VLOOKUP(A72,'Service Coverage'!$A:$C,3,0)),"")</f>
        <v/>
      </c>
      <c r="L72" s="87" t="str">
        <f>IFERROR(IF(VLOOKUP(A72,'Service Coverage'!$A:$D,4,0)="","",VLOOKUP(A72,'Service Coverage'!$A:$D,4,0)),"")</f>
        <v/>
      </c>
      <c r="M72" s="37" t="str">
        <f>IFERROR(IF(VLOOKUP(A72,'Service Coverage'!$A:$E,5,0)="","",VLOOKUP(A72,'Service Coverage'!$A:$E,5,0)),"")</f>
        <v/>
      </c>
      <c r="N72" s="37" t="str">
        <f>IFERROR(IF(VLOOKUP(A72,'Service Coverage'!$A:$F,6,0)="","",VLOOKUP(A72,'Service Coverage'!$A:$F,6,0)),"")</f>
        <v/>
      </c>
      <c r="O72" s="37" t="str">
        <f>IFERROR(IF(VLOOKUP(A72,'Service Coverage'!$A:$G,7,0)="","",VLOOKUP(A72,'Service Coverage'!$A:$G,7,0)),"")</f>
        <v/>
      </c>
      <c r="P72" s="37" t="str">
        <f>IFERROR(IF(VLOOKUP(A72,Adequacy!$A:$C,3,0)="","",VLOOKUP(A72,Adequacy!$A:$C,3,0)),"")</f>
        <v/>
      </c>
      <c r="Q72" s="37" t="str">
        <f>IFERROR(IF(VLOOKUP(A72,Adequacy!$A:$D,4,0)="","",VLOOKUP(A72,Adequacy!$A:$D,4,0)),"")</f>
        <v/>
      </c>
      <c r="R72" s="37" t="str">
        <f>IFERROR(IF(VLOOKUP(A72,Adequacy!$A:$E,5,0)="","",VLOOKUP(A72,Adequacy!$A:$E,5,0)),"")</f>
        <v/>
      </c>
      <c r="S72" s="37" t="str">
        <f>IFERROR(IF(VLOOKUP(A72,Adequacy!$A:$G,7,0)="","",VLOOKUP(A72,Adequacy!$A:$G,7,0)),"")</f>
        <v/>
      </c>
      <c r="T72" s="37" t="str">
        <f>IFERROR(IF(VLOOKUP(A72,Adequacy!$A:$H,8,0)="","",VLOOKUP(A72,Adequacy!$A:$H,8,0)),"")</f>
        <v xml:space="preserve"> </v>
      </c>
      <c r="U72" s="37" t="str">
        <f>IFERROR(IF(VLOOKUP(A72,Adequacy!$A:$J,10,0)="","",VLOOKUP(A72,Adequacy!$A:$J,10,0)),"")</f>
        <v/>
      </c>
      <c r="V72" s="37" t="str">
        <f>IFERROR(IF(VLOOKUP(A72,'Water Quality Score'!$A:$C,3,0)="","",VLOOKUP(A72,'Water Quality Score'!$A:$C,3,0)),"")</f>
        <v/>
      </c>
      <c r="W72" s="37" t="str">
        <f>IFERROR(IF(VLOOKUP(A72,'Water Quality Score'!$A:$D,4,0)="","",VLOOKUP(A72,'Water Quality Score'!$A:$D,4,0)),"")</f>
        <v/>
      </c>
      <c r="X72" s="37" t="str">
        <f>IFERROR(IF(VLOOKUP(A72,'Water Quality Score'!$A:$E,5,0)="","",VLOOKUP(A72,'Water Quality Score'!$A:$E,5,0)),"")</f>
        <v/>
      </c>
      <c r="Y72" s="37">
        <f>IFERROR(IF(VLOOKUP(A72,'Water Quality Score'!$A:$F,6,0)="","",VLOOKUP(A72,'Water Quality Score'!$A:$F,6,0)),"")</f>
        <v>0</v>
      </c>
      <c r="Z72" s="37" t="str">
        <f>IFERROR(IF(VLOOKUP(A72,'Reliability score'!$A:$C,3,0)="","",VLOOKUP(A72,'Reliability score'!$A:$C,3,0)),"")</f>
        <v/>
      </c>
      <c r="AA72" s="37" t="str">
        <f>IFERROR(IF(VLOOKUP(A72,'Reliability score'!$A:$D,4,0)="","",VLOOKUP(A72,'Reliability score'!$A:$D,4,0)),"")</f>
        <v xml:space="preserve"> </v>
      </c>
      <c r="AB72" s="37" t="str">
        <f>IFERROR(IF(VLOOKUP(A72,NRW!$A:$C,3,0)="","",VLOOKUP(A72,NRW!$A:$C,3,0)),"")</f>
        <v/>
      </c>
      <c r="AC72" s="37" t="str">
        <f>IFERROR(IF(VLOOKUP(A72,NRW!$A:$D,4,0)="","",VLOOKUP(A72,NRW!$A:$D,4,0)),"")</f>
        <v/>
      </c>
      <c r="AD72" s="37" t="str">
        <f>IFERROR(IF(VLOOKUP(A72,NRW!$A:$E,5,0)="","",VLOOKUP(A72,NRW!$A:$E,5,0)),"")</f>
        <v/>
      </c>
      <c r="AE72" s="37" t="str">
        <f>IFERROR(IF(VLOOKUP(A72,NRW!$A:$F,6,0)="","",VLOOKUP(A72,NRW!$A:$F,6,0)),"")</f>
        <v/>
      </c>
      <c r="AF72" s="37" t="str">
        <f>IFERROR(IF(VLOOKUP(A72,NRW!$A:$G,7,0)="","",VLOOKUP(A72,NRW!$A:$G,7,0)),"")</f>
        <v/>
      </c>
      <c r="AG72" s="37" t="str">
        <f>IFERROR(IF(OR(VLOOKUP(A72,NRW!$A:$H,8,0)="",VLOOKUP(A72,NRW!$A:$H,8,0)=0),"",VLOOKUP(A72,NRW!$A:$H,8,0)),"")</f>
        <v/>
      </c>
      <c r="AH72" s="87" t="str">
        <f>IFERROR(IF(VLOOKUP(A72,'O&amp;M score'!$A:$D,4,0)="","",VLOOKUP(A72,'O&amp;M score'!$A:$D,4,0)),"")</f>
        <v/>
      </c>
      <c r="AI72" s="87" t="str">
        <f>IFERROR(IF(VLOOKUP(A72,'O&amp;M score'!$A:$E,5,0)="","",VLOOKUP(A72,'O&amp;M score'!$A:$E,5,0)),"")</f>
        <v/>
      </c>
      <c r="AJ72" s="87" t="str">
        <f>IFERROR(IF(VLOOKUP(A72,'O&amp;M score'!$A:$F,6,0)="","",VLOOKUP(A72,'O&amp;M score'!$A:$F,6,0)),"")</f>
        <v/>
      </c>
      <c r="AK72" s="87" t="str">
        <f>IFERROR(IF(VLOOKUP(A72,'O&amp;M score'!$A:$G,7,0)="","",VLOOKUP(A72,'O&amp;M score'!$A:$G,7,0)),"")</f>
        <v/>
      </c>
      <c r="AL72" s="87" t="str">
        <f>IFERROR(IF(VLOOKUP(A72,'Metering Ratio Score'!$A:$C,3,0)="","",VLOOKUP(A72,'Metering Ratio Score'!$A:$C,3,0)),"")</f>
        <v/>
      </c>
      <c r="AM72" s="87" t="str">
        <f>IFERROR(IF(VLOOKUP(A72,'Metering Ratio Score'!$A:$D,4,0)="","",VLOOKUP(A72,'Metering Ratio Score'!$A:$D,4,0)),"")</f>
        <v/>
      </c>
      <c r="AN72" s="87" t="str">
        <f>IFERROR(IF(VLOOKUP(A72,'Metering Ratio Score'!$A:$E,5,0)="","",VLOOKUP(A72,'Metering Ratio Score'!$A:$E,5,0)),"")</f>
        <v/>
      </c>
      <c r="AO72" s="87" t="str">
        <f>IFERROR(IF(VLOOKUP(A72,'Metering Ratio Score'!$A:$F,6,0)="","",VLOOKUP(A72,'Metering Ratio Score'!$A:$F,6,0)),"")</f>
        <v/>
      </c>
      <c r="AP72" s="87" t="str">
        <f>IFERROR(IF(VLOOKUP(A72,'Grievance Addressal'!$A:$C,3,0)="","",VLOOKUP(A72,'Grievance Addressal'!$A:$C,3,0)),"")</f>
        <v/>
      </c>
      <c r="AQ72" s="87" t="str">
        <f>IFERROR(IF(VLOOKUP(A72,'Grievance Addressal'!$A:$D,4,0)="","",VLOOKUP(A72,'Grievance Addressal'!$A:$D,4,0)),"")</f>
        <v/>
      </c>
      <c r="AR72" s="87" t="str">
        <f>IFERROR(IF(VLOOKUP(A72,'Grievance Addressal'!$A:$E,5,0)="","",VLOOKUP(A72,'Grievance Addressal'!$A:$E,5,0)),"")</f>
        <v xml:space="preserve"> </v>
      </c>
      <c r="AS72" s="87" t="str">
        <f>IFERROR(IF(VLOOKUP(A72,Summary_Index!$A$5:$N$281,7,0)="","",VLOOKUP(A72,Summary_Index!$A$5:$N$281,7,0)),"")</f>
        <v/>
      </c>
      <c r="AT72" s="87" t="str">
        <f>IFERROR(IF(VLOOKUP(A72,Summary_Index!$A$5:$N$281,12,0)="","",VLOOKUP(A72,Summary_Index!$A$5:$N$281,12,0)),"")</f>
        <v/>
      </c>
      <c r="AU72" s="87" t="str">
        <f>IFERROR(IF(VLOOKUP(A72,Summary_Index!$A$5:$N$281,13,0)="","",VLOOKUP(A72,Summary_Index!$A$5:$N$281,13,0)),"")</f>
        <v/>
      </c>
      <c r="AV72" s="87" t="str">
        <f>IFERROR(IF(VLOOKUP(A72,Summary_Index!$A$5:$N$281,14,0)="","",VLOOKUP(A72,Summary_Index!$A$5:$N$281,14,0)),"")</f>
        <v/>
      </c>
    </row>
    <row r="73" spans="1:48" ht="45.6" customHeight="1" x14ac:dyDescent="0.3">
      <c r="A73" s="87">
        <f>Spatial!A73</f>
        <v>0</v>
      </c>
      <c r="B73" s="87">
        <f>Spatial!B73</f>
        <v>0</v>
      </c>
      <c r="C73" s="87">
        <f>Spatial!C73</f>
        <v>0</v>
      </c>
      <c r="D73" s="87">
        <f>Spatial!D73</f>
        <v>0</v>
      </c>
      <c r="E73" s="87">
        <f>Spatial!E73</f>
        <v>0</v>
      </c>
      <c r="F73" s="37">
        <f>Spatial!F73</f>
        <v>0</v>
      </c>
      <c r="G73" s="37">
        <f>IFERROR(Spatial!G73,"")</f>
        <v>0</v>
      </c>
      <c r="H73" s="37"/>
      <c r="I73" s="37"/>
      <c r="J73" s="37" t="str">
        <f t="shared" si="1"/>
        <v>0_0</v>
      </c>
      <c r="K73" s="37" t="str">
        <f>IFERROR(IF(VLOOKUP(A73,'Service Coverage'!$A:$C,3,0)="","",VLOOKUP(A73,'Service Coverage'!$A:$C,3,0)),"")</f>
        <v/>
      </c>
      <c r="L73" s="87" t="str">
        <f>IFERROR(IF(VLOOKUP(A73,'Service Coverage'!$A:$D,4,0)="","",VLOOKUP(A73,'Service Coverage'!$A:$D,4,0)),"")</f>
        <v/>
      </c>
      <c r="M73" s="37" t="str">
        <f>IFERROR(IF(VLOOKUP(A73,'Service Coverage'!$A:$E,5,0)="","",VLOOKUP(A73,'Service Coverage'!$A:$E,5,0)),"")</f>
        <v/>
      </c>
      <c r="N73" s="37" t="str">
        <f>IFERROR(IF(VLOOKUP(A73,'Service Coverage'!$A:$F,6,0)="","",VLOOKUP(A73,'Service Coverage'!$A:$F,6,0)),"")</f>
        <v/>
      </c>
      <c r="O73" s="37" t="str">
        <f>IFERROR(IF(VLOOKUP(A73,'Service Coverage'!$A:$G,7,0)="","",VLOOKUP(A73,'Service Coverage'!$A:$G,7,0)),"")</f>
        <v/>
      </c>
      <c r="P73" s="37" t="str">
        <f>IFERROR(IF(VLOOKUP(A73,Adequacy!$A:$C,3,0)="","",VLOOKUP(A73,Adequacy!$A:$C,3,0)),"")</f>
        <v/>
      </c>
      <c r="Q73" s="37" t="str">
        <f>IFERROR(IF(VLOOKUP(A73,Adequacy!$A:$D,4,0)="","",VLOOKUP(A73,Adequacy!$A:$D,4,0)),"")</f>
        <v/>
      </c>
      <c r="R73" s="37" t="str">
        <f>IFERROR(IF(VLOOKUP(A73,Adequacy!$A:$E,5,0)="","",VLOOKUP(A73,Adequacy!$A:$E,5,0)),"")</f>
        <v/>
      </c>
      <c r="S73" s="37" t="str">
        <f>IFERROR(IF(VLOOKUP(A73,Adequacy!$A:$G,7,0)="","",VLOOKUP(A73,Adequacy!$A:$G,7,0)),"")</f>
        <v/>
      </c>
      <c r="T73" s="37" t="str">
        <f>IFERROR(IF(VLOOKUP(A73,Adequacy!$A:$H,8,0)="","",VLOOKUP(A73,Adequacy!$A:$H,8,0)),"")</f>
        <v/>
      </c>
      <c r="U73" s="37" t="str">
        <f>IFERROR(IF(VLOOKUP(A73,Adequacy!$A:$J,10,0)="","",VLOOKUP(A73,Adequacy!$A:$J,10,0)),"")</f>
        <v/>
      </c>
      <c r="V73" s="37" t="str">
        <f>IFERROR(IF(VLOOKUP(A73,'Water Quality Score'!$A:$C,3,0)="","",VLOOKUP(A73,'Water Quality Score'!$A:$C,3,0)),"")</f>
        <v/>
      </c>
      <c r="W73" s="37" t="str">
        <f>IFERROR(IF(VLOOKUP(A73,'Water Quality Score'!$A:$D,4,0)="","",VLOOKUP(A73,'Water Quality Score'!$A:$D,4,0)),"")</f>
        <v/>
      </c>
      <c r="X73" s="37" t="str">
        <f>IFERROR(IF(VLOOKUP(A73,'Water Quality Score'!$A:$E,5,0)="","",VLOOKUP(A73,'Water Quality Score'!$A:$E,5,0)),"")</f>
        <v/>
      </c>
      <c r="Y73" s="37" t="str">
        <f>IFERROR(IF(VLOOKUP(A73,'Water Quality Score'!$A:$F,6,0)="","",VLOOKUP(A73,'Water Quality Score'!$A:$F,6,0)),"")</f>
        <v/>
      </c>
      <c r="Z73" s="37" t="str">
        <f>IFERROR(IF(VLOOKUP(A73,'Reliability score'!$A:$C,3,0)="","",VLOOKUP(A73,'Reliability score'!$A:$C,3,0)),"")</f>
        <v/>
      </c>
      <c r="AA73" s="37" t="str">
        <f>IFERROR(IF(VLOOKUP(A73,'Reliability score'!$A:$D,4,0)="","",VLOOKUP(A73,'Reliability score'!$A:$D,4,0)),"")</f>
        <v/>
      </c>
      <c r="AB73" s="37" t="str">
        <f>IFERROR(IF(VLOOKUP(A73,NRW!$A:$C,3,0)="","",VLOOKUP(A73,NRW!$A:$C,3,0)),"")</f>
        <v/>
      </c>
      <c r="AC73" s="37" t="str">
        <f>IFERROR(IF(VLOOKUP(A73,NRW!$A:$D,4,0)="","",VLOOKUP(A73,NRW!$A:$D,4,0)),"")</f>
        <v/>
      </c>
      <c r="AD73" s="37" t="str">
        <f>IFERROR(IF(VLOOKUP(A73,NRW!$A:$E,5,0)="","",VLOOKUP(A73,NRW!$A:$E,5,0)),"")</f>
        <v/>
      </c>
      <c r="AE73" s="37" t="str">
        <f>IFERROR(IF(VLOOKUP(A73,NRW!$A:$F,6,0)="","",VLOOKUP(A73,NRW!$A:$F,6,0)),"")</f>
        <v/>
      </c>
      <c r="AF73" s="37" t="str">
        <f>IFERROR(IF(VLOOKUP(A73,NRW!$A:$G,7,0)="","",VLOOKUP(A73,NRW!$A:$G,7,0)),"")</f>
        <v/>
      </c>
      <c r="AG73" s="37" t="str">
        <f>IFERROR(IF(OR(VLOOKUP(A73,NRW!$A:$H,8,0)="",VLOOKUP(A73,NRW!$A:$H,8,0)=0),"",VLOOKUP(A73,NRW!$A:$H,8,0)),"")</f>
        <v/>
      </c>
      <c r="AH73" s="87" t="str">
        <f>IFERROR(IF(VLOOKUP(A73,'O&amp;M score'!$A:$D,4,0)="","",VLOOKUP(A73,'O&amp;M score'!$A:$D,4,0)),"")</f>
        <v/>
      </c>
      <c r="AI73" s="87" t="str">
        <f>IFERROR(IF(VLOOKUP(A73,'O&amp;M score'!$A:$E,5,0)="","",VLOOKUP(A73,'O&amp;M score'!$A:$E,5,0)),"")</f>
        <v/>
      </c>
      <c r="AJ73" s="87" t="str">
        <f>IFERROR(IF(VLOOKUP(A73,'O&amp;M score'!$A:$F,6,0)="","",VLOOKUP(A73,'O&amp;M score'!$A:$F,6,0)),"")</f>
        <v/>
      </c>
      <c r="AK73" s="87" t="str">
        <f>IFERROR(IF(VLOOKUP(A73,'O&amp;M score'!$A:$G,7,0)="","",VLOOKUP(A73,'O&amp;M score'!$A:$G,7,0)),"")</f>
        <v/>
      </c>
      <c r="AL73" s="87" t="str">
        <f>IFERROR(IF(VLOOKUP(A73,'Metering Ratio Score'!$A:$C,3,0)="","",VLOOKUP(A73,'Metering Ratio Score'!$A:$C,3,0)),"")</f>
        <v/>
      </c>
      <c r="AM73" s="87" t="str">
        <f>IFERROR(IF(VLOOKUP(A73,'Metering Ratio Score'!$A:$D,4,0)="","",VLOOKUP(A73,'Metering Ratio Score'!$A:$D,4,0)),"")</f>
        <v/>
      </c>
      <c r="AN73" s="87" t="str">
        <f>IFERROR(IF(VLOOKUP(A73,'Metering Ratio Score'!$A:$E,5,0)="","",VLOOKUP(A73,'Metering Ratio Score'!$A:$E,5,0)),"")</f>
        <v/>
      </c>
      <c r="AO73" s="87" t="str">
        <f>IFERROR(IF(VLOOKUP(A73,'Metering Ratio Score'!$A:$F,6,0)="","",VLOOKUP(A73,'Metering Ratio Score'!$A:$F,6,0)),"")</f>
        <v/>
      </c>
      <c r="AP73" s="87" t="str">
        <f>IFERROR(IF(VLOOKUP(A73,'Grievance Addressal'!$A:$C,3,0)="","",VLOOKUP(A73,'Grievance Addressal'!$A:$C,3,0)),"")</f>
        <v/>
      </c>
      <c r="AQ73" s="87" t="str">
        <f>IFERROR(IF(VLOOKUP(A73,'Grievance Addressal'!$A:$D,4,0)="","",VLOOKUP(A73,'Grievance Addressal'!$A:$D,4,0)),"")</f>
        <v/>
      </c>
      <c r="AR73" s="87" t="str">
        <f>IFERROR(IF(VLOOKUP(A73,'Grievance Addressal'!$A:$E,5,0)="","",VLOOKUP(A73,'Grievance Addressal'!$A:$E,5,0)),"")</f>
        <v/>
      </c>
      <c r="AS73" s="87" t="str">
        <f>IFERROR(IF(VLOOKUP(A73,Summary_Index!$A$5:$N$281,7,0)="","",VLOOKUP(A73,Summary_Index!$A$5:$N$281,7,0)),"")</f>
        <v/>
      </c>
      <c r="AT73" s="87" t="str">
        <f>IFERROR(IF(VLOOKUP(A73,Summary_Index!$A$5:$N$281,12,0)="","",VLOOKUP(A73,Summary_Index!$A$5:$N$281,12,0)),"")</f>
        <v/>
      </c>
      <c r="AU73" s="87" t="str">
        <f>IFERROR(IF(VLOOKUP(A73,Summary_Index!$A$5:$N$281,13,0)="","",VLOOKUP(A73,Summary_Index!$A$5:$N$281,13,0)),"")</f>
        <v/>
      </c>
      <c r="AV73" s="87" t="str">
        <f>IFERROR(IF(VLOOKUP(A73,Summary_Index!$A$5:$N$281,14,0)="","",VLOOKUP(A73,Summary_Index!$A$5:$N$281,14,0)),"")</f>
        <v/>
      </c>
    </row>
    <row r="74" spans="1:48" ht="45.6" customHeight="1" x14ac:dyDescent="0.3">
      <c r="A74" s="87">
        <f>Spatial!A74</f>
        <v>0</v>
      </c>
      <c r="B74" s="87">
        <f>Spatial!B74</f>
        <v>0</v>
      </c>
      <c r="C74" s="87">
        <f>Spatial!C74</f>
        <v>0</v>
      </c>
      <c r="D74" s="87">
        <f>Spatial!D74</f>
        <v>0</v>
      </c>
      <c r="E74" s="87">
        <f>Spatial!E74</f>
        <v>0</v>
      </c>
      <c r="F74" s="87">
        <f>Spatial!F74</f>
        <v>0</v>
      </c>
      <c r="G74" s="87">
        <f>IFERROR(Spatial!G74,"")</f>
        <v>0</v>
      </c>
      <c r="H74" s="37"/>
      <c r="I74" s="37"/>
      <c r="J74" s="87" t="str">
        <f>F74&amp;"_"&amp;D74</f>
        <v>0_0</v>
      </c>
      <c r="K74" s="87" t="str">
        <f>IFERROR(IF(VLOOKUP(A74,'Service Coverage'!$A:$C,3,0)="","",VLOOKUP(A74,'Service Coverage'!$A:$C,3,0)),"")</f>
        <v/>
      </c>
      <c r="L74" s="87" t="str">
        <f>IFERROR(IF(VLOOKUP(A74,'Service Coverage'!$A:$D,4,0)="","",VLOOKUP(A74,'Service Coverage'!$A:$D,4,0)),"")</f>
        <v/>
      </c>
      <c r="M74" s="87" t="str">
        <f>IFERROR(IF(VLOOKUP(A74,'Service Coverage'!$A:$E,5,0)="","",VLOOKUP(A74,'Service Coverage'!$A:$E,5,0)),"")</f>
        <v/>
      </c>
      <c r="N74" s="87" t="str">
        <f>IFERROR(IF(VLOOKUP(A74,'Service Coverage'!$A:$F,6,0)="","",VLOOKUP(A74,'Service Coverage'!$A:$F,6,0)),"")</f>
        <v/>
      </c>
      <c r="O74" s="87" t="str">
        <f>IFERROR(IF(VLOOKUP(A74,'Service Coverage'!$A:$G,7,0)="","",VLOOKUP(A74,'Service Coverage'!$A:$G,7,0)),"")</f>
        <v/>
      </c>
      <c r="P74" s="37" t="str">
        <f>IFERROR(IF(VLOOKUP(A74,Adequacy!$A:$C,3,0)="","",VLOOKUP(A74,Adequacy!$A:$C,3,0)),"")</f>
        <v/>
      </c>
      <c r="Q74" s="37" t="str">
        <f>IFERROR(IF(VLOOKUP(A74,Adequacy!$A:$D,4,0)="","",VLOOKUP(A74,Adequacy!$A:$D,4,0)),"")</f>
        <v/>
      </c>
      <c r="R74" s="37" t="str">
        <f>IFERROR(IF(VLOOKUP(A74,Adequacy!$A:$E,5,0)="","",VLOOKUP(A74,Adequacy!$A:$E,5,0)),"")</f>
        <v/>
      </c>
      <c r="S74" s="37" t="str">
        <f>IFERROR(IF(VLOOKUP(A74,Adequacy!$A:$G,7,0)="","",VLOOKUP(A74,Adequacy!$A:$G,7,0)),"")</f>
        <v/>
      </c>
      <c r="T74" s="37" t="str">
        <f>IFERROR(IF(VLOOKUP(A74,Adequacy!$A:$H,8,0)="","",VLOOKUP(A74,Adequacy!$A:$H,8,0)),"")</f>
        <v/>
      </c>
      <c r="U74" s="37" t="str">
        <f>IFERROR(IF(VLOOKUP(A74,Adequacy!$A:$J,10,0)="","",VLOOKUP(A74,Adequacy!$A:$J,10,0)),"")</f>
        <v/>
      </c>
      <c r="V74" s="37" t="str">
        <f>IFERROR(IF(VLOOKUP(A74,'Water Quality Score'!$A:$C,3,0)="","",VLOOKUP(A74,'Water Quality Score'!$A:$C,3,0)),"")</f>
        <v/>
      </c>
      <c r="W74" s="37" t="str">
        <f>IFERROR(IF(VLOOKUP(A74,'Water Quality Score'!$A:$D,4,0)="","",VLOOKUP(A74,'Water Quality Score'!$A:$D,4,0)),"")</f>
        <v/>
      </c>
      <c r="X74" s="37" t="str">
        <f>IFERROR(IF(VLOOKUP(A74,'Water Quality Score'!$A:$E,5,0)="","",VLOOKUP(A74,'Water Quality Score'!$A:$E,5,0)),"")</f>
        <v/>
      </c>
      <c r="Y74" s="37" t="str">
        <f>IFERROR(IF(VLOOKUP(A74,'Water Quality Score'!$A:$F,6,0)="","",VLOOKUP(A74,'Water Quality Score'!$A:$F,6,0)),"")</f>
        <v/>
      </c>
      <c r="Z74" s="37" t="str">
        <f>IFERROR(IF(VLOOKUP(A74,'Reliability score'!$A:$C,3,0)="","",VLOOKUP(A74,'Reliability score'!$A:$C,3,0)),"")</f>
        <v/>
      </c>
      <c r="AA74" s="37" t="str">
        <f>IFERROR(IF(VLOOKUP(A74,'Reliability score'!$A:$D,4,0)="","",VLOOKUP(A74,'Reliability score'!$A:$D,4,0)),"")</f>
        <v/>
      </c>
      <c r="AB74" s="37" t="str">
        <f>IFERROR(IF(VLOOKUP(A74,NRW!$A:$C,3,0)="","",VLOOKUP(A74,NRW!$A:$C,3,0)),"")</f>
        <v/>
      </c>
      <c r="AC74" s="37" t="str">
        <f>IFERROR(IF(VLOOKUP(A74,NRW!$A:$D,4,0)="","",VLOOKUP(A74,NRW!$A:$D,4,0)),"")</f>
        <v/>
      </c>
      <c r="AD74" s="37" t="str">
        <f>IFERROR(IF(VLOOKUP(A74,NRW!$A:$E,5,0)="","",VLOOKUP(A74,NRW!$A:$E,5,0)),"")</f>
        <v/>
      </c>
      <c r="AE74" s="37" t="str">
        <f>IFERROR(IF(VLOOKUP(A74,NRW!$A:$F,6,0)="","",VLOOKUP(A74,NRW!$A:$F,6,0)),"")</f>
        <v/>
      </c>
      <c r="AF74" s="37" t="str">
        <f>IFERROR(IF(VLOOKUP(A74,NRW!$A:$G,7,0)="","",VLOOKUP(A74,NRW!$A:$G,7,0)),"")</f>
        <v/>
      </c>
      <c r="AG74" s="37" t="str">
        <f>IFERROR(IF(OR(VLOOKUP(A74,NRW!$A:$H,8,0)="",VLOOKUP(A74,NRW!$A:$H,8,0)=0),"",VLOOKUP(A74,NRW!$A:$H,8,0)),"")</f>
        <v/>
      </c>
      <c r="AH74" s="87" t="str">
        <f>IFERROR(IF(VLOOKUP(A74,'O&amp;M score'!$A:$D,4,0)="","",VLOOKUP(A74,'O&amp;M score'!$A:$D,4,0)),"")</f>
        <v/>
      </c>
      <c r="AI74" s="87" t="str">
        <f>IFERROR(IF(VLOOKUP(A74,'O&amp;M score'!$A:$E,5,0)="","",VLOOKUP(A74,'O&amp;M score'!$A:$E,5,0)),"")</f>
        <v/>
      </c>
      <c r="AJ74" s="87" t="str">
        <f>IFERROR(IF(VLOOKUP(A74,'O&amp;M score'!$A:$F,6,0)="","",VLOOKUP(A74,'O&amp;M score'!$A:$F,6,0)),"")</f>
        <v/>
      </c>
      <c r="AK74" s="87" t="str">
        <f>IFERROR(IF(VLOOKUP(A74,'O&amp;M score'!$A:$G,7,0)="","",VLOOKUP(A74,'O&amp;M score'!$A:$G,7,0)),"")</f>
        <v/>
      </c>
      <c r="AL74" s="87" t="str">
        <f>IFERROR(IF(VLOOKUP(A74,'Metering Ratio Score'!$A:$C,3,0)="","",VLOOKUP(A74,'Metering Ratio Score'!$A:$C,3,0)),"")</f>
        <v/>
      </c>
      <c r="AM74" s="87" t="str">
        <f>IFERROR(IF(VLOOKUP(A74,'Metering Ratio Score'!$A:$D,4,0)="","",VLOOKUP(A74,'Metering Ratio Score'!$A:$D,4,0)),"")</f>
        <v/>
      </c>
      <c r="AN74" s="87" t="str">
        <f>IFERROR(IF(VLOOKUP(A74,'Metering Ratio Score'!$A:$E,5,0)="","",VLOOKUP(A74,'Metering Ratio Score'!$A:$E,5,0)),"")</f>
        <v/>
      </c>
      <c r="AO74" s="87" t="str">
        <f>IFERROR(IF(VLOOKUP(A74,'Metering Ratio Score'!$A:$F,6,0)="","",VLOOKUP(A74,'Metering Ratio Score'!$A:$F,6,0)),"")</f>
        <v/>
      </c>
      <c r="AP74" s="87" t="str">
        <f>IFERROR(IF(VLOOKUP(A74,'Grievance Addressal'!$A:$C,3,0)="","",VLOOKUP(A74,'Grievance Addressal'!$A:$C,3,0)),"")</f>
        <v/>
      </c>
      <c r="AQ74" s="87" t="str">
        <f>IFERROR(IF(VLOOKUP(A74,'Grievance Addressal'!$A:$D,4,0)="","",VLOOKUP(A74,'Grievance Addressal'!$A:$D,4,0)),"")</f>
        <v/>
      </c>
      <c r="AR74" s="87" t="str">
        <f>IFERROR(IF(VLOOKUP(A74,'Grievance Addressal'!$A:$E,5,0)="","",VLOOKUP(A74,'Grievance Addressal'!$A:$E,5,0)),"")</f>
        <v/>
      </c>
      <c r="AS74" s="87" t="str">
        <f>IFERROR(IF(VLOOKUP(A74,Summary_Index!$A$5:$N$281,7,0)="","",VLOOKUP(A74,Summary_Index!$A$5:$N$281,7,0)),"")</f>
        <v/>
      </c>
      <c r="AT74" s="87" t="str">
        <f>IFERROR(IF(VLOOKUP(A74,Summary_Index!$A$5:$N$281,12,0)="","",VLOOKUP(A74,Summary_Index!$A$5:$N$281,12,0)),"")</f>
        <v/>
      </c>
      <c r="AU74" s="87" t="str">
        <f>IFERROR(IF(VLOOKUP(A74,Summary_Index!$A$5:$N$281,13,0)="","",VLOOKUP(A74,Summary_Index!$A$5:$N$281,13,0)),"")</f>
        <v/>
      </c>
      <c r="AV74" s="87" t="str">
        <f>IFERROR(IF(VLOOKUP(A74,Summary_Index!$A$5:$N$281,14,0)="","",VLOOKUP(A74,Summary_Index!$A$5:$N$281,14,0)),"")</f>
        <v/>
      </c>
    </row>
    <row r="75" spans="1:48" ht="45.6" customHeight="1" x14ac:dyDescent="0.3">
      <c r="A75" s="87">
        <f>Spatial!A75</f>
        <v>0</v>
      </c>
      <c r="B75" s="87">
        <f>Spatial!B75</f>
        <v>0</v>
      </c>
      <c r="C75" s="87">
        <f>Spatial!C75</f>
        <v>0</v>
      </c>
      <c r="D75" s="87">
        <f>Spatial!D75</f>
        <v>0</v>
      </c>
      <c r="E75" s="87">
        <f>Spatial!E75</f>
        <v>0</v>
      </c>
      <c r="F75" s="87">
        <f>Spatial!F75</f>
        <v>0</v>
      </c>
      <c r="G75" s="87">
        <f>IFERROR(Spatial!G75,"")</f>
        <v>0</v>
      </c>
      <c r="H75" s="37"/>
      <c r="I75" s="37"/>
      <c r="J75" s="87" t="str">
        <f t="shared" ref="J75:J80" si="2">F75&amp;"_"&amp;D75</f>
        <v>0_0</v>
      </c>
      <c r="K75" s="87" t="str">
        <f>IFERROR(IF(VLOOKUP(A75,'Service Coverage'!$A:$C,3,0)="","",VLOOKUP(A75,'Service Coverage'!$A:$C,3,0)),"")</f>
        <v/>
      </c>
      <c r="L75" s="87" t="str">
        <f>IFERROR(IF(VLOOKUP(A75,'Service Coverage'!$A:$D,4,0)="","",VLOOKUP(A75,'Service Coverage'!$A:$D,4,0)),"")</f>
        <v/>
      </c>
      <c r="M75" s="87" t="str">
        <f>IFERROR(IF(VLOOKUP(A75,'Service Coverage'!$A:$E,5,0)="","",VLOOKUP(A75,'Service Coverage'!$A:$E,5,0)),"")</f>
        <v/>
      </c>
      <c r="N75" s="87" t="str">
        <f>IFERROR(IF(VLOOKUP(A75,'Service Coverage'!$A:$F,6,0)="","",VLOOKUP(A75,'Service Coverage'!$A:$F,6,0)),"")</f>
        <v/>
      </c>
      <c r="O75" s="87" t="str">
        <f>IFERROR(IF(VLOOKUP(A75,'Service Coverage'!$A:$G,7,0)="","",VLOOKUP(A75,'Service Coverage'!$A:$G,7,0)),"")</f>
        <v/>
      </c>
      <c r="P75" s="87" t="str">
        <f>IFERROR(IF(VLOOKUP(A75,Adequacy!$A:$C,3,0)="","",VLOOKUP(A75,Adequacy!$A:$C,3,0)),"")</f>
        <v/>
      </c>
      <c r="Q75" s="37" t="str">
        <f>IFERROR(IF(VLOOKUP(A75,Adequacy!$A:$D,4,0)="","",VLOOKUP(A75,Adequacy!$A:$D,4,0)),"")</f>
        <v/>
      </c>
      <c r="R75" s="37" t="str">
        <f>IFERROR(IF(VLOOKUP(A75,Adequacy!$A:$E,5,0)="","",VLOOKUP(A75,Adequacy!$A:$E,5,0)),"")</f>
        <v/>
      </c>
      <c r="S75" s="37" t="str">
        <f>IFERROR(IF(VLOOKUP(A75,Adequacy!$A:$G,7,0)="","",VLOOKUP(A75,Adequacy!$A:$G,7,0)),"")</f>
        <v/>
      </c>
      <c r="T75" s="37" t="str">
        <f>IFERROR(IF(VLOOKUP(A75,Adequacy!$A:$H,8,0)="","",VLOOKUP(A75,Adequacy!$A:$H,8,0)),"")</f>
        <v/>
      </c>
      <c r="U75" s="37" t="str">
        <f>IFERROR(IF(VLOOKUP(A75,Adequacy!$A:$J,10,0)="","",VLOOKUP(A75,Adequacy!$A:$J,10,0)),"")</f>
        <v/>
      </c>
      <c r="V75" s="37" t="str">
        <f>IFERROR(IF(VLOOKUP(A75,'Water Quality Score'!$A:$C,3,0)="","",VLOOKUP(A75,'Water Quality Score'!$A:$C,3,0)),"")</f>
        <v/>
      </c>
      <c r="W75" s="37" t="str">
        <f>IFERROR(IF(VLOOKUP(A75,'Water Quality Score'!$A:$D,4,0)="","",VLOOKUP(A75,'Water Quality Score'!$A:$D,4,0)),"")</f>
        <v/>
      </c>
      <c r="X75" s="37" t="str">
        <f>IFERROR(IF(VLOOKUP(A75,'Water Quality Score'!$A:$E,5,0)="","",VLOOKUP(A75,'Water Quality Score'!$A:$E,5,0)),"")</f>
        <v/>
      </c>
      <c r="Y75" s="37" t="str">
        <f>IFERROR(IF(VLOOKUP(A75,'Water Quality Score'!$A:$F,6,0)="","",VLOOKUP(A75,'Water Quality Score'!$A:$F,6,0)),"")</f>
        <v/>
      </c>
      <c r="Z75" s="37" t="str">
        <f>IFERROR(IF(VLOOKUP(A75,'Reliability score'!$A:$C,3,0)="","",VLOOKUP(A75,'Reliability score'!$A:$C,3,0)),"")</f>
        <v/>
      </c>
      <c r="AA75" s="37" t="str">
        <f>IFERROR(IF(VLOOKUP(A75,'Reliability score'!$A:$D,4,0)="","",VLOOKUP(A75,'Reliability score'!$A:$D,4,0)),"")</f>
        <v/>
      </c>
      <c r="AB75" s="37" t="str">
        <f>IFERROR(IF(VLOOKUP(A75,NRW!$A:$C,3,0)="","",VLOOKUP(A75,NRW!$A:$C,3,0)),"")</f>
        <v/>
      </c>
      <c r="AC75" s="37" t="str">
        <f>IFERROR(IF(VLOOKUP(A75,NRW!$A:$D,4,0)="","",VLOOKUP(A75,NRW!$A:$D,4,0)),"")</f>
        <v/>
      </c>
      <c r="AD75" s="37" t="str">
        <f>IFERROR(IF(VLOOKUP(A75,NRW!$A:$E,5,0)="","",VLOOKUP(A75,NRW!$A:$E,5,0)),"")</f>
        <v/>
      </c>
      <c r="AE75" s="37" t="str">
        <f>IFERROR(IF(VLOOKUP(A75,NRW!$A:$F,6,0)="","",VLOOKUP(A75,NRW!$A:$F,6,0)),"")</f>
        <v/>
      </c>
      <c r="AF75" s="37" t="str">
        <f>IFERROR(IF(VLOOKUP(A75,NRW!$A:$G,7,0)="","",VLOOKUP(A75,NRW!$A:$G,7,0)),"")</f>
        <v/>
      </c>
      <c r="AG75" s="37" t="str">
        <f>IFERROR(IF(OR(VLOOKUP(A75,NRW!$A:$H,8,0)="",VLOOKUP(A75,NRW!$A:$H,8,0)=0),"",VLOOKUP(A75,NRW!$A:$H,8,0)),"")</f>
        <v/>
      </c>
      <c r="AH75" s="87" t="str">
        <f>IFERROR(IF(VLOOKUP(A75,'O&amp;M score'!$A:$D,4,0)="","",VLOOKUP(A75,'O&amp;M score'!$A:$D,4,0)),"")</f>
        <v/>
      </c>
      <c r="AI75" s="87" t="str">
        <f>IFERROR(IF(VLOOKUP(A75,'O&amp;M score'!$A:$E,5,0)="","",VLOOKUP(A75,'O&amp;M score'!$A:$E,5,0)),"")</f>
        <v/>
      </c>
      <c r="AJ75" s="87" t="str">
        <f>IFERROR(IF(VLOOKUP(A75,'O&amp;M score'!$A:$F,6,0)="","",VLOOKUP(A75,'O&amp;M score'!$A:$F,6,0)),"")</f>
        <v/>
      </c>
      <c r="AK75" s="87" t="str">
        <f>IFERROR(IF(VLOOKUP(A75,'O&amp;M score'!$A:$G,7,0)="","",VLOOKUP(A75,'O&amp;M score'!$A:$G,7,0)),"")</f>
        <v/>
      </c>
      <c r="AL75" s="87" t="str">
        <f>IFERROR(IF(VLOOKUP(A75,'Metering Ratio Score'!$A:$C,3,0)="","",VLOOKUP(A75,'Metering Ratio Score'!$A:$C,3,0)),"")</f>
        <v/>
      </c>
      <c r="AM75" s="87" t="str">
        <f>IFERROR(IF(VLOOKUP(A75,'Metering Ratio Score'!$A:$D,4,0)="","",VLOOKUP(A75,'Metering Ratio Score'!$A:$D,4,0)),"")</f>
        <v/>
      </c>
      <c r="AN75" s="87" t="str">
        <f>IFERROR(IF(VLOOKUP(A75,'Metering Ratio Score'!$A:$E,5,0)="","",VLOOKUP(A75,'Metering Ratio Score'!$A:$E,5,0)),"")</f>
        <v/>
      </c>
      <c r="AO75" s="87" t="str">
        <f>IFERROR(IF(VLOOKUP(A75,'Metering Ratio Score'!$A:$F,6,0)="","",VLOOKUP(A75,'Metering Ratio Score'!$A:$F,6,0)),"")</f>
        <v/>
      </c>
      <c r="AP75" s="87" t="str">
        <f>IFERROR(IF(VLOOKUP(A75,'Grievance Addressal'!$A:$C,3,0)="","",VLOOKUP(A75,'Grievance Addressal'!$A:$C,3,0)),"")</f>
        <v/>
      </c>
      <c r="AQ75" s="87" t="str">
        <f>IFERROR(IF(VLOOKUP(A75,'Grievance Addressal'!$A:$D,4,0)="","",VLOOKUP(A75,'Grievance Addressal'!$A:$D,4,0)),"")</f>
        <v/>
      </c>
      <c r="AR75" s="87" t="str">
        <f>IFERROR(IF(VLOOKUP(A75,'Grievance Addressal'!$A:$E,5,0)="","",VLOOKUP(A75,'Grievance Addressal'!$A:$E,5,0)),"")</f>
        <v/>
      </c>
      <c r="AS75" s="87" t="str">
        <f>IFERROR(IF(VLOOKUP(A75,Summary_Index!$A$5:$N$281,7,0)="","",VLOOKUP(A75,Summary_Index!$A$5:$N$281,7,0)),"")</f>
        <v/>
      </c>
      <c r="AT75" s="87" t="str">
        <f>IFERROR(IF(VLOOKUP(A75,Summary_Index!$A$5:$N$281,12,0)="","",VLOOKUP(A75,Summary_Index!$A$5:$N$281,12,0)),"")</f>
        <v/>
      </c>
      <c r="AU75" s="87" t="str">
        <f>IFERROR(IF(VLOOKUP(A75,Summary_Index!$A$5:$N$281,13,0)="","",VLOOKUP(A75,Summary_Index!$A$5:$N$281,13,0)),"")</f>
        <v/>
      </c>
      <c r="AV75" s="87" t="str">
        <f>IFERROR(IF(VLOOKUP(A75,Summary_Index!$A$5:$N$281,14,0)="","",VLOOKUP(A75,Summary_Index!$A$5:$N$281,14,0)),"")</f>
        <v/>
      </c>
    </row>
    <row r="76" spans="1:48" ht="45.6" customHeight="1" x14ac:dyDescent="0.3">
      <c r="A76" s="87">
        <f>Spatial!A76</f>
        <v>0</v>
      </c>
      <c r="B76" s="87">
        <f>Spatial!B76</f>
        <v>0</v>
      </c>
      <c r="C76" s="87">
        <f>Spatial!C76</f>
        <v>0</v>
      </c>
      <c r="D76" s="87">
        <f>Spatial!D76</f>
        <v>0</v>
      </c>
      <c r="E76" s="87">
        <f>Spatial!E76</f>
        <v>0</v>
      </c>
      <c r="F76" s="87">
        <f>Spatial!F76</f>
        <v>0</v>
      </c>
      <c r="G76" s="87">
        <f>IFERROR(Spatial!G76,"")</f>
        <v>0</v>
      </c>
      <c r="H76" s="37"/>
      <c r="I76" s="37"/>
      <c r="J76" s="87" t="str">
        <f t="shared" si="2"/>
        <v>0_0</v>
      </c>
      <c r="K76" s="87" t="str">
        <f>IFERROR(IF(VLOOKUP(A76,'Service Coverage'!$A:$C,3,0)="","",VLOOKUP(A76,'Service Coverage'!$A:$C,3,0)),"")</f>
        <v/>
      </c>
      <c r="L76" s="87" t="str">
        <f>IFERROR(IF(VLOOKUP(A76,'Service Coverage'!$A:$D,4,0)="","",VLOOKUP(A76,'Service Coverage'!$A:$D,4,0)),"")</f>
        <v/>
      </c>
      <c r="M76" s="87" t="str">
        <f>IFERROR(IF(VLOOKUP(A76,'Service Coverage'!$A:$E,5,0)="","",VLOOKUP(A76,'Service Coverage'!$A:$E,5,0)),"")</f>
        <v/>
      </c>
      <c r="N76" s="87" t="str">
        <f>IFERROR(IF(VLOOKUP(A76,'Service Coverage'!$A:$F,6,0)="","",VLOOKUP(A76,'Service Coverage'!$A:$F,6,0)),"")</f>
        <v/>
      </c>
      <c r="O76" s="87" t="str">
        <f>IFERROR(IF(VLOOKUP(A76,'Service Coverage'!$A:$G,7,0)="","",VLOOKUP(A76,'Service Coverage'!$A:$G,7,0)),"")</f>
        <v/>
      </c>
      <c r="P76" s="87" t="str">
        <f>IFERROR(IF(VLOOKUP(A76,Adequacy!$A:$C,3,0)="","",VLOOKUP(A76,Adequacy!$A:$C,3,0)),"")</f>
        <v/>
      </c>
      <c r="Q76" s="37" t="str">
        <f>IFERROR(IF(VLOOKUP(A76,Adequacy!$A:$D,4,0)="","",VLOOKUP(A76,Adequacy!$A:$D,4,0)),"")</f>
        <v/>
      </c>
      <c r="R76" s="37" t="str">
        <f>IFERROR(IF(VLOOKUP(A76,Adequacy!$A:$E,5,0)="","",VLOOKUP(A76,Adequacy!$A:$E,5,0)),"")</f>
        <v/>
      </c>
      <c r="S76" s="37" t="str">
        <f>IFERROR(IF(VLOOKUP(A76,Adequacy!$A:$G,7,0)="","",VLOOKUP(A76,Adequacy!$A:$G,7,0)),"")</f>
        <v/>
      </c>
      <c r="T76" s="37" t="str">
        <f>IFERROR(IF(VLOOKUP(A76,Adequacy!$A:$H,8,0)="","",VLOOKUP(A76,Adequacy!$A:$H,8,0)),"")</f>
        <v/>
      </c>
      <c r="U76" s="37" t="str">
        <f>IFERROR(IF(VLOOKUP(A76,Adequacy!$A:$J,10,0)="","",VLOOKUP(A76,Adequacy!$A:$J,10,0)),"")</f>
        <v/>
      </c>
      <c r="V76" s="37" t="str">
        <f>IFERROR(IF(VLOOKUP(A76,'Water Quality Score'!$A:$C,3,0)="","",VLOOKUP(A76,'Water Quality Score'!$A:$C,3,0)),"")</f>
        <v/>
      </c>
      <c r="W76" s="37" t="str">
        <f>IFERROR(IF(VLOOKUP(A76,'Water Quality Score'!$A:$D,4,0)="","",VLOOKUP(A76,'Water Quality Score'!$A:$D,4,0)),"")</f>
        <v/>
      </c>
      <c r="X76" s="37" t="str">
        <f>IFERROR(IF(VLOOKUP(A76,'Water Quality Score'!$A:$E,5,0)="","",VLOOKUP(A76,'Water Quality Score'!$A:$E,5,0)),"")</f>
        <v/>
      </c>
      <c r="Y76" s="37" t="str">
        <f>IFERROR(IF(VLOOKUP(A76,'Water Quality Score'!$A:$F,6,0)="","",VLOOKUP(A76,'Water Quality Score'!$A:$F,6,0)),"")</f>
        <v/>
      </c>
      <c r="Z76" s="37" t="str">
        <f>IFERROR(IF(VLOOKUP(A76,'Reliability score'!$A:$C,3,0)="","",VLOOKUP(A76,'Reliability score'!$A:$C,3,0)),"")</f>
        <v/>
      </c>
      <c r="AA76" s="37" t="str">
        <f>IFERROR(IF(VLOOKUP(A76,'Reliability score'!$A:$D,4,0)="","",VLOOKUP(A76,'Reliability score'!$A:$D,4,0)),"")</f>
        <v/>
      </c>
      <c r="AB76" s="37" t="str">
        <f>IFERROR(IF(VLOOKUP(A76,NRW!$A:$C,3,0)="","",VLOOKUP(A76,NRW!$A:$C,3,0)),"")</f>
        <v/>
      </c>
      <c r="AC76" s="37" t="str">
        <f>IFERROR(IF(VLOOKUP(A76,NRW!$A:$D,4,0)="","",VLOOKUP(A76,NRW!$A:$D,4,0)),"")</f>
        <v/>
      </c>
      <c r="AD76" s="37" t="str">
        <f>IFERROR(IF(VLOOKUP(A76,NRW!$A:$E,5,0)="","",VLOOKUP(A76,NRW!$A:$E,5,0)),"")</f>
        <v/>
      </c>
      <c r="AE76" s="37" t="str">
        <f>IFERROR(IF(VLOOKUP(A76,NRW!$A:$F,6,0)="","",VLOOKUP(A76,NRW!$A:$F,6,0)),"")</f>
        <v/>
      </c>
      <c r="AF76" s="37" t="str">
        <f>IFERROR(IF(VLOOKUP(A76,NRW!$A:$G,7,0)="","",VLOOKUP(A76,NRW!$A:$G,7,0)),"")</f>
        <v/>
      </c>
      <c r="AG76" s="37" t="str">
        <f>IFERROR(IF(OR(VLOOKUP(A76,NRW!$A:$H,8,0)="",VLOOKUP(A76,NRW!$A:$H,8,0)=0),"",VLOOKUP(A76,NRW!$A:$H,8,0)),"")</f>
        <v/>
      </c>
      <c r="AH76" s="87" t="str">
        <f>IFERROR(IF(VLOOKUP(A76,'O&amp;M score'!$A:$D,4,0)="","",VLOOKUP(A76,'O&amp;M score'!$A:$D,4,0)),"")</f>
        <v/>
      </c>
      <c r="AI76" s="87" t="str">
        <f>IFERROR(IF(VLOOKUP(A76,'O&amp;M score'!$A:$E,5,0)="","",VLOOKUP(A76,'O&amp;M score'!$A:$E,5,0)),"")</f>
        <v/>
      </c>
      <c r="AJ76" s="87" t="str">
        <f>IFERROR(IF(VLOOKUP(A76,'O&amp;M score'!$A:$F,6,0)="","",VLOOKUP(A76,'O&amp;M score'!$A:$F,6,0)),"")</f>
        <v/>
      </c>
      <c r="AK76" s="87" t="str">
        <f>IFERROR(IF(VLOOKUP(A76,'O&amp;M score'!$A:$G,7,0)="","",VLOOKUP(A76,'O&amp;M score'!$A:$G,7,0)),"")</f>
        <v/>
      </c>
      <c r="AL76" s="87" t="str">
        <f>IFERROR(IF(VLOOKUP(A76,'Metering Ratio Score'!$A:$C,3,0)="","",VLOOKUP(A76,'Metering Ratio Score'!$A:$C,3,0)),"")</f>
        <v/>
      </c>
      <c r="AM76" s="87" t="str">
        <f>IFERROR(IF(VLOOKUP(A76,'Metering Ratio Score'!$A:$D,4,0)="","",VLOOKUP(A76,'Metering Ratio Score'!$A:$D,4,0)),"")</f>
        <v/>
      </c>
      <c r="AN76" s="87" t="str">
        <f>IFERROR(IF(VLOOKUP(A76,'Metering Ratio Score'!$A:$E,5,0)="","",VLOOKUP(A76,'Metering Ratio Score'!$A:$E,5,0)),"")</f>
        <v/>
      </c>
      <c r="AO76" s="87" t="str">
        <f>IFERROR(IF(VLOOKUP(A76,'Metering Ratio Score'!$A:$F,6,0)="","",VLOOKUP(A76,'Metering Ratio Score'!$A:$F,6,0)),"")</f>
        <v/>
      </c>
      <c r="AP76" s="87" t="str">
        <f>IFERROR(IF(VLOOKUP(A76,'Grievance Addressal'!$A:$C,3,0)="","",VLOOKUP(A76,'Grievance Addressal'!$A:$C,3,0)),"")</f>
        <v/>
      </c>
      <c r="AQ76" s="87" t="str">
        <f>IFERROR(IF(VLOOKUP(A76,'Grievance Addressal'!$A:$D,4,0)="","",VLOOKUP(A76,'Grievance Addressal'!$A:$D,4,0)),"")</f>
        <v/>
      </c>
      <c r="AR76" s="87" t="str">
        <f>IFERROR(IF(VLOOKUP(A76,'Grievance Addressal'!$A:$E,5,0)="","",VLOOKUP(A76,'Grievance Addressal'!$A:$E,5,0)),"")</f>
        <v/>
      </c>
      <c r="AS76" s="87" t="str">
        <f>IFERROR(IF(VLOOKUP(A76,Summary_Index!$A$5:$N$281,7,0)="","",VLOOKUP(A76,Summary_Index!$A$5:$N$281,7,0)),"")</f>
        <v/>
      </c>
      <c r="AT76" s="87" t="str">
        <f>IFERROR(IF(VLOOKUP(A76,Summary_Index!$A$5:$N$281,12,0)="","",VLOOKUP(A76,Summary_Index!$A$5:$N$281,12,0)),"")</f>
        <v/>
      </c>
      <c r="AU76" s="87" t="str">
        <f>IFERROR(IF(VLOOKUP(A76,Summary_Index!$A$5:$N$281,13,0)="","",VLOOKUP(A76,Summary_Index!$A$5:$N$281,13,0)),"")</f>
        <v/>
      </c>
      <c r="AV76" s="87" t="str">
        <f>IFERROR(IF(VLOOKUP(A76,Summary_Index!$A$5:$N$281,14,0)="","",VLOOKUP(A76,Summary_Index!$A$5:$N$281,14,0)),"")</f>
        <v/>
      </c>
    </row>
    <row r="77" spans="1:48" ht="45.6" customHeight="1" x14ac:dyDescent="0.3">
      <c r="A77" s="87">
        <f>Spatial!A77</f>
        <v>0</v>
      </c>
      <c r="B77" s="87">
        <f>Spatial!B77</f>
        <v>0</v>
      </c>
      <c r="C77" s="87">
        <f>Spatial!C77</f>
        <v>0</v>
      </c>
      <c r="D77" s="87">
        <f>Spatial!D77</f>
        <v>0</v>
      </c>
      <c r="E77" s="87">
        <f>Spatial!E77</f>
        <v>0</v>
      </c>
      <c r="F77" s="87">
        <f>Spatial!F77</f>
        <v>0</v>
      </c>
      <c r="G77" s="87">
        <f>IFERROR(Spatial!G77,"")</f>
        <v>0</v>
      </c>
      <c r="H77" s="37"/>
      <c r="I77" s="37"/>
      <c r="J77" s="87" t="str">
        <f t="shared" si="2"/>
        <v>0_0</v>
      </c>
      <c r="K77" s="87" t="str">
        <f>IFERROR(IF(VLOOKUP(A77,'Service Coverage'!$A:$C,3,0)="","",VLOOKUP(A77,'Service Coverage'!$A:$C,3,0)),"")</f>
        <v/>
      </c>
      <c r="L77" s="87" t="str">
        <f>IFERROR(IF(VLOOKUP(A77,'Service Coverage'!$A:$D,4,0)="","",VLOOKUP(A77,'Service Coverage'!$A:$D,4,0)),"")</f>
        <v/>
      </c>
      <c r="M77" s="87" t="str">
        <f>IFERROR(IF(VLOOKUP(A77,'Service Coverage'!$A:$E,5,0)="","",VLOOKUP(A77,'Service Coverage'!$A:$E,5,0)),"")</f>
        <v/>
      </c>
      <c r="N77" s="87" t="str">
        <f>IFERROR(IF(VLOOKUP(A77,'Service Coverage'!$A:$F,6,0)="","",VLOOKUP(A77,'Service Coverage'!$A:$F,6,0)),"")</f>
        <v/>
      </c>
      <c r="O77" s="87" t="str">
        <f>IFERROR(IF(VLOOKUP(A77,'Service Coverage'!$A:$G,7,0)="","",VLOOKUP(A77,'Service Coverage'!$A:$G,7,0)),"")</f>
        <v/>
      </c>
      <c r="P77" s="87" t="str">
        <f>IFERROR(IF(VLOOKUP(A77,Adequacy!$A:$C,3,0)="","",VLOOKUP(A77,Adequacy!$A:$C,3,0)),"")</f>
        <v/>
      </c>
      <c r="Q77" s="37" t="str">
        <f>IFERROR(IF(VLOOKUP(A77,Adequacy!$A:$D,4,0)="","",VLOOKUP(A77,Adequacy!$A:$D,4,0)),"")</f>
        <v/>
      </c>
      <c r="R77" s="37" t="str">
        <f>IFERROR(IF(VLOOKUP(A77,Adequacy!$A:$E,5,0)="","",VLOOKUP(A77,Adequacy!$A:$E,5,0)),"")</f>
        <v/>
      </c>
      <c r="S77" s="37" t="str">
        <f>IFERROR(IF(VLOOKUP(A77,Adequacy!$A:$G,7,0)="","",VLOOKUP(A77,Adequacy!$A:$G,7,0)),"")</f>
        <v/>
      </c>
      <c r="T77" s="37" t="str">
        <f>IFERROR(IF(VLOOKUP(A77,Adequacy!$A:$H,8,0)="","",VLOOKUP(A77,Adequacy!$A:$H,8,0)),"")</f>
        <v/>
      </c>
      <c r="U77" s="37" t="str">
        <f>IFERROR(IF(VLOOKUP(A77,Adequacy!$A:$J,10,0)="","",VLOOKUP(A77,Adequacy!$A:$J,10,0)),"")</f>
        <v/>
      </c>
      <c r="V77" s="37" t="str">
        <f>IFERROR(IF(VLOOKUP(A77,'Water Quality Score'!$A:$C,3,0)="","",VLOOKUP(A77,'Water Quality Score'!$A:$C,3,0)),"")</f>
        <v/>
      </c>
      <c r="W77" s="37" t="str">
        <f>IFERROR(IF(VLOOKUP(A77,'Water Quality Score'!$A:$D,4,0)="","",VLOOKUP(A77,'Water Quality Score'!$A:$D,4,0)),"")</f>
        <v/>
      </c>
      <c r="X77" s="37" t="str">
        <f>IFERROR(IF(VLOOKUP(A77,'Water Quality Score'!$A:$E,5,0)="","",VLOOKUP(A77,'Water Quality Score'!$A:$E,5,0)),"")</f>
        <v/>
      </c>
      <c r="Y77" s="37" t="str">
        <f>IFERROR(IF(VLOOKUP(A77,'Water Quality Score'!$A:$F,6,0)="","",VLOOKUP(A77,'Water Quality Score'!$A:$F,6,0)),"")</f>
        <v/>
      </c>
      <c r="Z77" s="37" t="str">
        <f>IFERROR(IF(VLOOKUP(A77,'Reliability score'!$A:$C,3,0)="","",VLOOKUP(A77,'Reliability score'!$A:$C,3,0)),"")</f>
        <v/>
      </c>
      <c r="AA77" s="37" t="str">
        <f>IFERROR(IF(VLOOKUP(A77,'Reliability score'!$A:$D,4,0)="","",VLOOKUP(A77,'Reliability score'!$A:$D,4,0)),"")</f>
        <v/>
      </c>
      <c r="AB77" s="37" t="str">
        <f>IFERROR(IF(VLOOKUP(A77,NRW!$A:$C,3,0)="","",VLOOKUP(A77,NRW!$A:$C,3,0)),"")</f>
        <v/>
      </c>
      <c r="AC77" s="37" t="str">
        <f>IFERROR(IF(VLOOKUP(A77,NRW!$A:$D,4,0)="","",VLOOKUP(A77,NRW!$A:$D,4,0)),"")</f>
        <v/>
      </c>
      <c r="AD77" s="37" t="str">
        <f>IFERROR(IF(VLOOKUP(A77,NRW!$A:$E,5,0)="","",VLOOKUP(A77,NRW!$A:$E,5,0)),"")</f>
        <v/>
      </c>
      <c r="AE77" s="37" t="str">
        <f>IFERROR(IF(VLOOKUP(A77,NRW!$A:$F,6,0)="","",VLOOKUP(A77,NRW!$A:$F,6,0)),"")</f>
        <v/>
      </c>
      <c r="AF77" s="37" t="str">
        <f>IFERROR(IF(VLOOKUP(A77,NRW!$A:$G,7,0)="","",VLOOKUP(A77,NRW!$A:$G,7,0)),"")</f>
        <v/>
      </c>
      <c r="AG77" s="37" t="str">
        <f>IFERROR(IF(OR(VLOOKUP(A77,NRW!$A:$H,8,0)="",VLOOKUP(A77,NRW!$A:$H,8,0)=0),"",VLOOKUP(A77,NRW!$A:$H,8,0)),"")</f>
        <v/>
      </c>
      <c r="AH77" s="87" t="str">
        <f>IFERROR(IF(VLOOKUP(A77,'O&amp;M score'!$A:$D,4,0)="","",VLOOKUP(A77,'O&amp;M score'!$A:$D,4,0)),"")</f>
        <v/>
      </c>
      <c r="AI77" s="87" t="str">
        <f>IFERROR(IF(VLOOKUP(A77,'O&amp;M score'!$A:$E,5,0)="","",VLOOKUP(A77,'O&amp;M score'!$A:$E,5,0)),"")</f>
        <v/>
      </c>
      <c r="AJ77" s="87" t="str">
        <f>IFERROR(IF(VLOOKUP(A77,'O&amp;M score'!$A:$F,6,0)="","",VLOOKUP(A77,'O&amp;M score'!$A:$F,6,0)),"")</f>
        <v/>
      </c>
      <c r="AK77" s="87" t="str">
        <f>IFERROR(IF(VLOOKUP(A77,'O&amp;M score'!$A:$G,7,0)="","",VLOOKUP(A77,'O&amp;M score'!$A:$G,7,0)),"")</f>
        <v/>
      </c>
      <c r="AL77" s="87" t="str">
        <f>IFERROR(IF(VLOOKUP(A77,'Metering Ratio Score'!$A:$C,3,0)="","",VLOOKUP(A77,'Metering Ratio Score'!$A:$C,3,0)),"")</f>
        <v/>
      </c>
      <c r="AM77" s="87" t="str">
        <f>IFERROR(IF(VLOOKUP(A77,'Metering Ratio Score'!$A:$D,4,0)="","",VLOOKUP(A77,'Metering Ratio Score'!$A:$D,4,0)),"")</f>
        <v/>
      </c>
      <c r="AN77" s="87" t="str">
        <f>IFERROR(IF(VLOOKUP(A77,'Metering Ratio Score'!$A:$E,5,0)="","",VLOOKUP(A77,'Metering Ratio Score'!$A:$E,5,0)),"")</f>
        <v/>
      </c>
      <c r="AO77" s="87" t="str">
        <f>IFERROR(IF(VLOOKUP(A77,'Metering Ratio Score'!$A:$F,6,0)="","",VLOOKUP(A77,'Metering Ratio Score'!$A:$F,6,0)),"")</f>
        <v/>
      </c>
      <c r="AP77" s="87" t="str">
        <f>IFERROR(IF(VLOOKUP(A77,'Grievance Addressal'!$A:$C,3,0)="","",VLOOKUP(A77,'Grievance Addressal'!$A:$C,3,0)),"")</f>
        <v/>
      </c>
      <c r="AQ77" s="87" t="str">
        <f>IFERROR(IF(VLOOKUP(A77,'Grievance Addressal'!$A:$D,4,0)="","",VLOOKUP(A77,'Grievance Addressal'!$A:$D,4,0)),"")</f>
        <v/>
      </c>
      <c r="AR77" s="87" t="str">
        <f>IFERROR(IF(VLOOKUP(A77,'Grievance Addressal'!$A:$E,5,0)="","",VLOOKUP(A77,'Grievance Addressal'!$A:$E,5,0)),"")</f>
        <v/>
      </c>
      <c r="AS77" s="87" t="str">
        <f>IFERROR(IF(VLOOKUP(A77,Summary_Index!$A$5:$N$281,7,0)="","",VLOOKUP(A77,Summary_Index!$A$5:$N$281,7,0)),"")</f>
        <v/>
      </c>
      <c r="AT77" s="87" t="str">
        <f>IFERROR(IF(VLOOKUP(A77,Summary_Index!$A$5:$N$281,12,0)="","",VLOOKUP(A77,Summary_Index!$A$5:$N$281,12,0)),"")</f>
        <v/>
      </c>
      <c r="AU77" s="87" t="str">
        <f>IFERROR(IF(VLOOKUP(A77,Summary_Index!$A$5:$N$281,13,0)="","",VLOOKUP(A77,Summary_Index!$A$5:$N$281,13,0)),"")</f>
        <v/>
      </c>
      <c r="AV77" s="87" t="str">
        <f>IFERROR(IF(VLOOKUP(A77,Summary_Index!$A$5:$N$281,14,0)="","",VLOOKUP(A77,Summary_Index!$A$5:$N$281,14,0)),"")</f>
        <v/>
      </c>
    </row>
    <row r="78" spans="1:48" ht="45.6" customHeight="1" x14ac:dyDescent="0.3">
      <c r="A78" s="87">
        <f>Spatial!A78</f>
        <v>0</v>
      </c>
      <c r="B78" s="87">
        <f>Spatial!B78</f>
        <v>0</v>
      </c>
      <c r="C78" s="87">
        <f>Spatial!C78</f>
        <v>0</v>
      </c>
      <c r="D78" s="87">
        <f>Spatial!D78</f>
        <v>0</v>
      </c>
      <c r="E78" s="87">
        <f>Spatial!E78</f>
        <v>0</v>
      </c>
      <c r="F78" s="87">
        <f>Spatial!F78</f>
        <v>0</v>
      </c>
      <c r="G78" s="87">
        <f>IFERROR(Spatial!G78,"")</f>
        <v>0</v>
      </c>
      <c r="H78" s="37"/>
      <c r="I78" s="37"/>
      <c r="J78" s="87" t="str">
        <f t="shared" si="2"/>
        <v>0_0</v>
      </c>
      <c r="K78" s="87" t="str">
        <f>IFERROR(IF(VLOOKUP(A78,'Service Coverage'!$A:$C,3,0)="","",VLOOKUP(A78,'Service Coverage'!$A:$C,3,0)),"")</f>
        <v/>
      </c>
      <c r="L78" s="87" t="str">
        <f>IFERROR(IF(VLOOKUP(A78,'Service Coverage'!$A:$D,4,0)="","",VLOOKUP(A78,'Service Coverage'!$A:$D,4,0)),"")</f>
        <v/>
      </c>
      <c r="M78" s="87" t="str">
        <f>IFERROR(IF(VLOOKUP(A78,'Service Coverage'!$A:$E,5,0)="","",VLOOKUP(A78,'Service Coverage'!$A:$E,5,0)),"")</f>
        <v/>
      </c>
      <c r="N78" s="87" t="str">
        <f>IFERROR(IF(VLOOKUP(A78,'Service Coverage'!$A:$F,6,0)="","",VLOOKUP(A78,'Service Coverage'!$A:$F,6,0)),"")</f>
        <v/>
      </c>
      <c r="O78" s="87" t="str">
        <f>IFERROR(IF(VLOOKUP(A78,'Service Coverage'!$A:$G,7,0)="","",VLOOKUP(A78,'Service Coverage'!$A:$G,7,0)),"")</f>
        <v/>
      </c>
      <c r="P78" s="87" t="str">
        <f>IFERROR(IF(VLOOKUP(A78,Adequacy!$A:$C,3,0)="","",VLOOKUP(A78,Adequacy!$A:$C,3,0)),"")</f>
        <v/>
      </c>
      <c r="Q78" s="37" t="str">
        <f>IFERROR(IF(VLOOKUP(A78,Adequacy!$A:$D,4,0)="","",VLOOKUP(A78,Adequacy!$A:$D,4,0)),"")</f>
        <v/>
      </c>
      <c r="R78" s="37" t="str">
        <f>IFERROR(IF(VLOOKUP(A78,Adequacy!$A:$E,5,0)="","",VLOOKUP(A78,Adequacy!$A:$E,5,0)),"")</f>
        <v/>
      </c>
      <c r="S78" s="37" t="str">
        <f>IFERROR(IF(VLOOKUP(A78,Adequacy!$A:$G,7,0)="","",VLOOKUP(A78,Adequacy!$A:$G,7,0)),"")</f>
        <v/>
      </c>
      <c r="T78" s="37" t="str">
        <f>IFERROR(IF(VLOOKUP(A78,Adequacy!$A:$H,8,0)="","",VLOOKUP(A78,Adequacy!$A:$H,8,0)),"")</f>
        <v/>
      </c>
      <c r="U78" s="37" t="str">
        <f>IFERROR(IF(VLOOKUP(A78,Adequacy!$A:$J,10,0)="","",VLOOKUP(A78,Adequacy!$A:$J,10,0)),"")</f>
        <v/>
      </c>
      <c r="V78" s="37" t="str">
        <f>IFERROR(IF(VLOOKUP(A78,'Water Quality Score'!$A:$C,3,0)="","",VLOOKUP(A78,'Water Quality Score'!$A:$C,3,0)),"")</f>
        <v/>
      </c>
      <c r="W78" s="87" t="str">
        <f>IFERROR(IF(VLOOKUP(A78,'Water Quality Score'!$A:$D,4,0)="","",VLOOKUP(A78,'Water Quality Score'!$A:$D,4,0)),"")</f>
        <v/>
      </c>
      <c r="X78" s="37" t="str">
        <f>IFERROR(IF(VLOOKUP(A78,'Water Quality Score'!$A:$E,5,0)="","",VLOOKUP(A78,'Water Quality Score'!$A:$E,5,0)),"")</f>
        <v/>
      </c>
      <c r="Y78" s="37" t="str">
        <f>IFERROR(IF(VLOOKUP(A78,'Water Quality Score'!$A:$F,6,0)="","",VLOOKUP(A78,'Water Quality Score'!$A:$F,6,0)),"")</f>
        <v/>
      </c>
      <c r="Z78" s="37" t="str">
        <f>IFERROR(IF(VLOOKUP(A78,'Reliability score'!$A:$C,3,0)="","",VLOOKUP(A78,'Reliability score'!$A:$C,3,0)),"")</f>
        <v/>
      </c>
      <c r="AA78" s="37" t="str">
        <f>IFERROR(IF(VLOOKUP(A78,'Reliability score'!$A:$D,4,0)="","",VLOOKUP(A78,'Reliability score'!$A:$D,4,0)),"")</f>
        <v/>
      </c>
      <c r="AB78" s="37" t="str">
        <f>IFERROR(IF(VLOOKUP(A78,NRW!$A:$C,3,0)="","",VLOOKUP(A78,NRW!$A:$C,3,0)),"")</f>
        <v/>
      </c>
      <c r="AC78" s="37" t="str">
        <f>IFERROR(IF(VLOOKUP(A78,NRW!$A:$D,4,0)="","",VLOOKUP(A78,NRW!$A:$D,4,0)),"")</f>
        <v/>
      </c>
      <c r="AD78" s="37" t="str">
        <f>IFERROR(IF(VLOOKUP(A78,NRW!$A:$E,5,0)="","",VLOOKUP(A78,NRW!$A:$E,5,0)),"")</f>
        <v/>
      </c>
      <c r="AE78" s="37" t="str">
        <f>IFERROR(IF(VLOOKUP(A78,NRW!$A:$F,6,0)="","",VLOOKUP(A78,NRW!$A:$F,6,0)),"")</f>
        <v/>
      </c>
      <c r="AF78" s="37" t="str">
        <f>IFERROR(IF(VLOOKUP(A78,NRW!$A:$G,7,0)="","",VLOOKUP(A78,NRW!$A:$G,7,0)),"")</f>
        <v/>
      </c>
      <c r="AG78" s="37" t="str">
        <f>IFERROR(IF(OR(VLOOKUP(A78,NRW!$A:$H,8,0)="",VLOOKUP(A78,NRW!$A:$H,8,0)=0),"",VLOOKUP(A78,NRW!$A:$H,8,0)),"")</f>
        <v/>
      </c>
      <c r="AH78" s="87" t="str">
        <f>IFERROR(IF(VLOOKUP(A78,'O&amp;M score'!$A:$D,4,0)="","",VLOOKUP(A78,'O&amp;M score'!$A:$D,4,0)),"")</f>
        <v/>
      </c>
      <c r="AI78" s="87" t="str">
        <f>IFERROR(IF(VLOOKUP(A78,'O&amp;M score'!$A:$E,5,0)="","",VLOOKUP(A78,'O&amp;M score'!$A:$E,5,0)),"")</f>
        <v/>
      </c>
      <c r="AJ78" s="87" t="str">
        <f>IFERROR(IF(VLOOKUP(A78,'O&amp;M score'!$A:$F,6,0)="","",VLOOKUP(A78,'O&amp;M score'!$A:$F,6,0)),"")</f>
        <v/>
      </c>
      <c r="AK78" s="87" t="str">
        <f>IFERROR(IF(VLOOKUP(A78,'O&amp;M score'!$A:$G,7,0)="","",VLOOKUP(A78,'O&amp;M score'!$A:$G,7,0)),"")</f>
        <v/>
      </c>
      <c r="AL78" s="87" t="str">
        <f>IFERROR(IF(VLOOKUP(A78,'Metering Ratio Score'!$A:$C,3,0)="","",VLOOKUP(A78,'Metering Ratio Score'!$A:$C,3,0)),"")</f>
        <v/>
      </c>
      <c r="AM78" s="87" t="str">
        <f>IFERROR(IF(VLOOKUP(A78,'Metering Ratio Score'!$A:$D,4,0)="","",VLOOKUP(A78,'Metering Ratio Score'!$A:$D,4,0)),"")</f>
        <v/>
      </c>
      <c r="AN78" s="87" t="str">
        <f>IFERROR(IF(VLOOKUP(A78,'Metering Ratio Score'!$A:$E,5,0)="","",VLOOKUP(A78,'Metering Ratio Score'!$A:$E,5,0)),"")</f>
        <v/>
      </c>
      <c r="AO78" s="87" t="str">
        <f>IFERROR(IF(VLOOKUP(A78,'Metering Ratio Score'!$A:$F,6,0)="","",VLOOKUP(A78,'Metering Ratio Score'!$A:$F,6,0)),"")</f>
        <v/>
      </c>
      <c r="AP78" s="87" t="str">
        <f>IFERROR(IF(VLOOKUP(A78,'Grievance Addressal'!$A:$C,3,0)="","",VLOOKUP(A78,'Grievance Addressal'!$A:$C,3,0)),"")</f>
        <v/>
      </c>
      <c r="AQ78" s="87" t="str">
        <f>IFERROR(IF(VLOOKUP(A78,'Grievance Addressal'!$A:$D,4,0)="","",VLOOKUP(A78,'Grievance Addressal'!$A:$D,4,0)),"")</f>
        <v/>
      </c>
      <c r="AR78" s="87" t="str">
        <f>IFERROR(IF(VLOOKUP(A78,'Grievance Addressal'!$A:$E,5,0)="","",VLOOKUP(A78,'Grievance Addressal'!$A:$E,5,0)),"")</f>
        <v/>
      </c>
      <c r="AS78" s="87" t="str">
        <f>IFERROR(IF(VLOOKUP(A78,Summary_Index!$A$5:$N$281,7,0)="","",VLOOKUP(A78,Summary_Index!$A$5:$N$281,7,0)),"")</f>
        <v/>
      </c>
      <c r="AT78" s="87" t="str">
        <f>IFERROR(IF(VLOOKUP(A78,Summary_Index!$A$5:$N$281,12,0)="","",VLOOKUP(A78,Summary_Index!$A$5:$N$281,12,0)),"")</f>
        <v/>
      </c>
      <c r="AU78" s="87" t="str">
        <f>IFERROR(IF(VLOOKUP(A78,Summary_Index!$A$5:$N$281,13,0)="","",VLOOKUP(A78,Summary_Index!$A$5:$N$281,13,0)),"")</f>
        <v/>
      </c>
      <c r="AV78" s="87" t="str">
        <f>IFERROR(IF(VLOOKUP(A78,Summary_Index!$A$5:$N$281,14,0)="","",VLOOKUP(A78,Summary_Index!$A$5:$N$281,14,0)),"")</f>
        <v/>
      </c>
    </row>
    <row r="79" spans="1:48" ht="45.6" customHeight="1" x14ac:dyDescent="0.3">
      <c r="A79" s="87">
        <f>Spatial!A79</f>
        <v>0</v>
      </c>
      <c r="B79" s="87">
        <f>Spatial!B79</f>
        <v>0</v>
      </c>
      <c r="C79" s="87">
        <f>Spatial!C79</f>
        <v>0</v>
      </c>
      <c r="D79" s="87">
        <f>Spatial!D79</f>
        <v>0</v>
      </c>
      <c r="E79" s="87">
        <f>Spatial!E79</f>
        <v>0</v>
      </c>
      <c r="F79" s="87">
        <f>Spatial!F79</f>
        <v>0</v>
      </c>
      <c r="G79" s="87">
        <f>IFERROR(Spatial!G79,"")</f>
        <v>0</v>
      </c>
      <c r="H79" s="37"/>
      <c r="I79" s="37"/>
      <c r="J79" s="87" t="str">
        <f t="shared" si="2"/>
        <v>0_0</v>
      </c>
      <c r="K79" s="87" t="str">
        <f>IFERROR(IF(VLOOKUP(A79,'Service Coverage'!$A:$C,3,0)="","",VLOOKUP(A79,'Service Coverage'!$A:$C,3,0)),"")</f>
        <v/>
      </c>
      <c r="L79" s="87" t="str">
        <f>IFERROR(IF(VLOOKUP(A79,'Service Coverage'!$A:$D,4,0)="","",VLOOKUP(A79,'Service Coverage'!$A:$D,4,0)),"")</f>
        <v/>
      </c>
      <c r="M79" s="87" t="str">
        <f>IFERROR(IF(VLOOKUP(A79,'Service Coverage'!$A:$E,5,0)="","",VLOOKUP(A79,'Service Coverage'!$A:$E,5,0)),"")</f>
        <v/>
      </c>
      <c r="N79" s="87" t="str">
        <f>IFERROR(IF(VLOOKUP(A79,'Service Coverage'!$A:$F,6,0)="","",VLOOKUP(A79,'Service Coverage'!$A:$F,6,0)),"")</f>
        <v/>
      </c>
      <c r="O79" s="87" t="str">
        <f>IFERROR(IF(VLOOKUP(A79,'Service Coverage'!$A:$G,7,0)="","",VLOOKUP(A79,'Service Coverage'!$A:$G,7,0)),"")</f>
        <v/>
      </c>
      <c r="P79" s="87" t="str">
        <f>IFERROR(IF(VLOOKUP(A79,Adequacy!$A:$C,3,0)="","",VLOOKUP(A79,Adequacy!$A:$C,3,0)),"")</f>
        <v/>
      </c>
      <c r="Q79" s="37" t="str">
        <f>IFERROR(IF(VLOOKUP(A79,Adequacy!$A:$D,4,0)="","",VLOOKUP(A79,Adequacy!$A:$D,4,0)),"")</f>
        <v/>
      </c>
      <c r="R79" s="37" t="str">
        <f>IFERROR(IF(VLOOKUP(A79,Adequacy!$A:$E,5,0)="","",VLOOKUP(A79,Adequacy!$A:$E,5,0)),"")</f>
        <v/>
      </c>
      <c r="S79" s="37" t="str">
        <f>IFERROR(IF(VLOOKUP(A79,Adequacy!$A:$G,7,0)="","",VLOOKUP(A79,Adequacy!$A:$G,7,0)),"")</f>
        <v/>
      </c>
      <c r="T79" s="37" t="str">
        <f>IFERROR(IF(VLOOKUP(A79,Adequacy!$A:$H,8,0)="","",VLOOKUP(A79,Adequacy!$A:$H,8,0)),"")</f>
        <v/>
      </c>
      <c r="U79" s="37" t="str">
        <f>IFERROR(IF(VLOOKUP(A79,Adequacy!$A:$J,10,0)="","",VLOOKUP(A79,Adequacy!$A:$J,10,0)),"")</f>
        <v/>
      </c>
      <c r="V79" s="37" t="str">
        <f>IFERROR(IF(VLOOKUP(A79,'Water Quality Score'!$A:$C,3,0)="","",VLOOKUP(A79,'Water Quality Score'!$A:$C,3,0)),"")</f>
        <v/>
      </c>
      <c r="W79" s="87" t="str">
        <f>IFERROR(IF(VLOOKUP(A79,'Water Quality Score'!$A:$D,4,0)="","",VLOOKUP(A79,'Water Quality Score'!$A:$D,4,0)),"")</f>
        <v/>
      </c>
      <c r="X79" s="37" t="str">
        <f>IFERROR(IF(VLOOKUP(A79,'Water Quality Score'!$A:$E,5,0)="","",VLOOKUP(A79,'Water Quality Score'!$A:$E,5,0)),"")</f>
        <v/>
      </c>
      <c r="Y79" s="37" t="str">
        <f>IFERROR(IF(VLOOKUP(A79,'Water Quality Score'!$A:$F,6,0)="","",VLOOKUP(A79,'Water Quality Score'!$A:$F,6,0)),"")</f>
        <v/>
      </c>
      <c r="Z79" s="37" t="str">
        <f>IFERROR(IF(VLOOKUP(A79,'Reliability score'!$A:$C,3,0)="","",VLOOKUP(A79,'Reliability score'!$A:$C,3,0)),"")</f>
        <v/>
      </c>
      <c r="AA79" s="37" t="str">
        <f>IFERROR(IF(VLOOKUP(A79,'Reliability score'!$A:$D,4,0)="","",VLOOKUP(A79,'Reliability score'!$A:$D,4,0)),"")</f>
        <v/>
      </c>
      <c r="AB79" s="37" t="str">
        <f>IFERROR(IF(VLOOKUP(A79,NRW!$A:$C,3,0)="","",VLOOKUP(A79,NRW!$A:$C,3,0)),"")</f>
        <v/>
      </c>
      <c r="AC79" s="37" t="str">
        <f>IFERROR(IF(VLOOKUP(A79,NRW!$A:$D,4,0)="","",VLOOKUP(A79,NRW!$A:$D,4,0)),"")</f>
        <v/>
      </c>
      <c r="AD79" s="37" t="str">
        <f>IFERROR(IF(VLOOKUP(A79,NRW!$A:$E,5,0)="","",VLOOKUP(A79,NRW!$A:$E,5,0)),"")</f>
        <v/>
      </c>
      <c r="AE79" s="37" t="str">
        <f>IFERROR(IF(VLOOKUP(A79,NRW!$A:$F,6,0)="","",VLOOKUP(A79,NRW!$A:$F,6,0)),"")</f>
        <v/>
      </c>
      <c r="AF79" s="37" t="str">
        <f>IFERROR(IF(VLOOKUP(A79,NRW!$A:$G,7,0)="","",VLOOKUP(A79,NRW!$A:$G,7,0)),"")</f>
        <v/>
      </c>
      <c r="AG79" s="37" t="str">
        <f>IFERROR(IF(OR(VLOOKUP(A79,NRW!$A:$H,8,0)="",VLOOKUP(A79,NRW!$A:$H,8,0)=0),"",VLOOKUP(A79,NRW!$A:$H,8,0)),"")</f>
        <v/>
      </c>
      <c r="AH79" s="87" t="str">
        <f>IFERROR(IF(VLOOKUP(A79,'O&amp;M score'!$A:$D,4,0)="","",VLOOKUP(A79,'O&amp;M score'!$A:$D,4,0)),"")</f>
        <v/>
      </c>
      <c r="AI79" s="87" t="str">
        <f>IFERROR(IF(VLOOKUP(A79,'O&amp;M score'!$A:$E,5,0)="","",VLOOKUP(A79,'O&amp;M score'!$A:$E,5,0)),"")</f>
        <v/>
      </c>
      <c r="AJ79" s="87" t="str">
        <f>IFERROR(IF(VLOOKUP(A79,'O&amp;M score'!$A:$F,6,0)="","",VLOOKUP(A79,'O&amp;M score'!$A:$F,6,0)),"")</f>
        <v/>
      </c>
      <c r="AK79" s="87" t="str">
        <f>IFERROR(IF(VLOOKUP(A79,'O&amp;M score'!$A:$G,7,0)="","",VLOOKUP(A79,'O&amp;M score'!$A:$G,7,0)),"")</f>
        <v/>
      </c>
      <c r="AL79" s="87" t="str">
        <f>IFERROR(IF(VLOOKUP(A79,'Metering Ratio Score'!$A:$C,3,0)="","",VLOOKUP(A79,'Metering Ratio Score'!$A:$C,3,0)),"")</f>
        <v/>
      </c>
      <c r="AM79" s="87" t="str">
        <f>IFERROR(IF(VLOOKUP(A79,'Metering Ratio Score'!$A:$D,4,0)="","",VLOOKUP(A79,'Metering Ratio Score'!$A:$D,4,0)),"")</f>
        <v/>
      </c>
      <c r="AN79" s="87" t="str">
        <f>IFERROR(IF(VLOOKUP(A79,'Metering Ratio Score'!$A:$E,5,0)="","",VLOOKUP(A79,'Metering Ratio Score'!$A:$E,5,0)),"")</f>
        <v/>
      </c>
      <c r="AO79" s="87" t="str">
        <f>IFERROR(IF(VLOOKUP(A79,'Metering Ratio Score'!$A:$F,6,0)="","",VLOOKUP(A79,'Metering Ratio Score'!$A:$F,6,0)),"")</f>
        <v/>
      </c>
      <c r="AP79" s="87" t="str">
        <f>IFERROR(IF(VLOOKUP(A79,'Grievance Addressal'!$A:$C,3,0)="","",VLOOKUP(A79,'Grievance Addressal'!$A:$C,3,0)),"")</f>
        <v/>
      </c>
      <c r="AQ79" s="87" t="str">
        <f>IFERROR(IF(VLOOKUP(A79,'Grievance Addressal'!$A:$D,4,0)="","",VLOOKUP(A79,'Grievance Addressal'!$A:$D,4,0)),"")</f>
        <v/>
      </c>
      <c r="AR79" s="87" t="str">
        <f>IFERROR(IF(VLOOKUP(A79,'Grievance Addressal'!$A:$E,5,0)="","",VLOOKUP(A79,'Grievance Addressal'!$A:$E,5,0)),"")</f>
        <v/>
      </c>
      <c r="AS79" s="87" t="str">
        <f>IFERROR(IF(VLOOKUP(A79,Summary_Index!$A$5:$N$281,7,0)="","",VLOOKUP(A79,Summary_Index!$A$5:$N$281,7,0)),"")</f>
        <v/>
      </c>
      <c r="AT79" s="87" t="str">
        <f>IFERROR(IF(VLOOKUP(A79,Summary_Index!$A$5:$N$281,12,0)="","",VLOOKUP(A79,Summary_Index!$A$5:$N$281,12,0)),"")</f>
        <v/>
      </c>
      <c r="AU79" s="87" t="str">
        <f>IFERROR(IF(VLOOKUP(A79,Summary_Index!$A$5:$N$281,13,0)="","",VLOOKUP(A79,Summary_Index!$A$5:$N$281,13,0)),"")</f>
        <v/>
      </c>
      <c r="AV79" s="87" t="str">
        <f>IFERROR(IF(VLOOKUP(A79,Summary_Index!$A$5:$N$281,14,0)="","",VLOOKUP(A79,Summary_Index!$A$5:$N$281,14,0)),"")</f>
        <v/>
      </c>
    </row>
    <row r="80" spans="1:48" ht="45.6" customHeight="1" x14ac:dyDescent="0.3">
      <c r="A80" s="87">
        <f>Spatial!A80</f>
        <v>0</v>
      </c>
      <c r="B80" s="87">
        <f>Spatial!B80</f>
        <v>0</v>
      </c>
      <c r="C80" s="87">
        <f>Spatial!C80</f>
        <v>0</v>
      </c>
      <c r="D80" s="87">
        <f>Spatial!D80</f>
        <v>0</v>
      </c>
      <c r="E80" s="87">
        <f>Spatial!E80</f>
        <v>0</v>
      </c>
      <c r="F80" s="87">
        <f>Spatial!F80</f>
        <v>0</v>
      </c>
      <c r="G80" s="87">
        <f>IFERROR(Spatial!G80,"")</f>
        <v>0</v>
      </c>
      <c r="H80" s="37"/>
      <c r="I80" s="37"/>
      <c r="J80" s="87" t="str">
        <f t="shared" si="2"/>
        <v>0_0</v>
      </c>
      <c r="K80" s="87" t="str">
        <f>IFERROR(IF(VLOOKUP(A80,'Service Coverage'!$A:$C,3,0)="","",VLOOKUP(A80,'Service Coverage'!$A:$C,3,0)),"")</f>
        <v/>
      </c>
      <c r="L80" s="87" t="str">
        <f>IFERROR(IF(VLOOKUP(A80,'Service Coverage'!$A:$D,4,0)="","",VLOOKUP(A80,'Service Coverage'!$A:$D,4,0)),"")</f>
        <v/>
      </c>
      <c r="M80" s="87" t="str">
        <f>IFERROR(IF(VLOOKUP(A80,'Service Coverage'!$A:$E,5,0)="","",VLOOKUP(A80,'Service Coverage'!$A:$E,5,0)),"")</f>
        <v/>
      </c>
      <c r="N80" s="87" t="str">
        <f>IFERROR(IF(VLOOKUP(A80,'Service Coverage'!$A:$F,6,0)="","",VLOOKUP(A80,'Service Coverage'!$A:$F,6,0)),"")</f>
        <v/>
      </c>
      <c r="O80" s="87" t="str">
        <f>IFERROR(IF(VLOOKUP(A80,'Service Coverage'!$A:$G,7,0)="","",VLOOKUP(A80,'Service Coverage'!$A:$G,7,0)),"")</f>
        <v/>
      </c>
      <c r="P80" s="87" t="str">
        <f>IFERROR(IF(VLOOKUP(A80,Adequacy!$A:$C,3,0)="","",VLOOKUP(A80,Adequacy!$A:$C,3,0)),"")</f>
        <v/>
      </c>
      <c r="Q80" s="37" t="str">
        <f>IFERROR(IF(VLOOKUP(A80,Adequacy!$A:$D,4,0)="","",VLOOKUP(A80,Adequacy!$A:$D,4,0)),"")</f>
        <v/>
      </c>
      <c r="R80" s="37" t="str">
        <f>IFERROR(IF(VLOOKUP(A80,Adequacy!$A:$E,5,0)="","",VLOOKUP(A80,Adequacy!$A:$E,5,0)),"")</f>
        <v/>
      </c>
      <c r="S80" s="37" t="str">
        <f>IFERROR(IF(VLOOKUP(A80,Adequacy!$A:$G,7,0)="","",VLOOKUP(A80,Adequacy!$A:$G,7,0)),"")</f>
        <v/>
      </c>
      <c r="T80" s="37" t="str">
        <f>IFERROR(IF(VLOOKUP(A80,Adequacy!$A:$H,8,0)="","",VLOOKUP(A80,Adequacy!$A:$H,8,0)),"")</f>
        <v/>
      </c>
      <c r="U80" s="37" t="str">
        <f>IFERROR(IF(VLOOKUP(A80,Adequacy!$A:$J,10,0)="","",VLOOKUP(A80,Adequacy!$A:$J,10,0)),"")</f>
        <v/>
      </c>
      <c r="V80" s="37" t="str">
        <f>IFERROR(IF(VLOOKUP(A80,'Water Quality Score'!$A:$C,3,0)="","",VLOOKUP(A80,'Water Quality Score'!$A:$C,3,0)),"")</f>
        <v/>
      </c>
      <c r="W80" s="87" t="str">
        <f>IFERROR(IF(VLOOKUP(A80,'Water Quality Score'!$A:$D,4,0)="","",VLOOKUP(A80,'Water Quality Score'!$A:$D,4,0)),"")</f>
        <v/>
      </c>
      <c r="X80" s="37" t="str">
        <f>IFERROR(IF(VLOOKUP(A80,'Water Quality Score'!$A:$E,5,0)="","",VLOOKUP(A80,'Water Quality Score'!$A:$E,5,0)),"")</f>
        <v/>
      </c>
      <c r="Y80" s="37" t="str">
        <f>IFERROR(IF(VLOOKUP(A80,'Water Quality Score'!$A:$F,6,0)="","",VLOOKUP(A80,'Water Quality Score'!$A:$F,6,0)),"")</f>
        <v/>
      </c>
      <c r="Z80" s="37" t="str">
        <f>IFERROR(IF(VLOOKUP(A80,'Reliability score'!$A:$C,3,0)="","",VLOOKUP(A80,'Reliability score'!$A:$C,3,0)),"")</f>
        <v/>
      </c>
      <c r="AA80" s="37" t="str">
        <f>IFERROR(IF(VLOOKUP(A80,'Reliability score'!$A:$D,4,0)="","",VLOOKUP(A80,'Reliability score'!$A:$D,4,0)),"")</f>
        <v/>
      </c>
      <c r="AB80" s="37" t="str">
        <f>IFERROR(IF(VLOOKUP(A80,NRW!$A:$C,3,0)="","",VLOOKUP(A80,NRW!$A:$C,3,0)),"")</f>
        <v/>
      </c>
      <c r="AC80" s="37" t="str">
        <f>IFERROR(IF(VLOOKUP(A80,NRW!$A:$D,4,0)="","",VLOOKUP(A80,NRW!$A:$D,4,0)),"")</f>
        <v/>
      </c>
      <c r="AD80" s="37" t="str">
        <f>IFERROR(IF(VLOOKUP(A80,NRW!$A:$E,5,0)="","",VLOOKUP(A80,NRW!$A:$E,5,0)),"")</f>
        <v/>
      </c>
      <c r="AE80" s="37" t="str">
        <f>IFERROR(IF(VLOOKUP(A80,NRW!$A:$F,6,0)="","",VLOOKUP(A80,NRW!$A:$F,6,0)),"")</f>
        <v/>
      </c>
      <c r="AF80" s="37" t="str">
        <f>IFERROR(IF(VLOOKUP(A80,NRW!$A:$G,7,0)="","",VLOOKUP(A80,NRW!$A:$G,7,0)),"")</f>
        <v/>
      </c>
      <c r="AG80" s="37" t="str">
        <f>IFERROR(IF(OR(VLOOKUP(A80,NRW!$A:$H,8,0)="",VLOOKUP(A80,NRW!$A:$H,8,0)=0),"",VLOOKUP(A80,NRW!$A:$H,8,0)),"")</f>
        <v/>
      </c>
      <c r="AH80" s="87" t="str">
        <f>IFERROR(IF(VLOOKUP(A80,'O&amp;M score'!$A:$D,4,0)="","",VLOOKUP(A80,'O&amp;M score'!$A:$D,4,0)),"")</f>
        <v/>
      </c>
      <c r="AI80" s="87" t="str">
        <f>IFERROR(IF(VLOOKUP(A80,'O&amp;M score'!$A:$E,5,0)="","",VLOOKUP(A80,'O&amp;M score'!$A:$E,5,0)),"")</f>
        <v/>
      </c>
      <c r="AJ80" s="87" t="str">
        <f>IFERROR(IF(VLOOKUP(A80,'O&amp;M score'!$A:$F,6,0)="","",VLOOKUP(A80,'O&amp;M score'!$A:$F,6,0)),"")</f>
        <v/>
      </c>
      <c r="AK80" s="87" t="str">
        <f>IFERROR(IF(VLOOKUP(A80,'O&amp;M score'!$A:$G,7,0)="","",VLOOKUP(A80,'O&amp;M score'!$A:$G,7,0)),"")</f>
        <v/>
      </c>
      <c r="AL80" s="87" t="str">
        <f>IFERROR(IF(VLOOKUP(A80,'Metering Ratio Score'!$A:$C,3,0)="","",VLOOKUP(A80,'Metering Ratio Score'!$A:$C,3,0)),"")</f>
        <v/>
      </c>
      <c r="AM80" s="87" t="str">
        <f>IFERROR(IF(VLOOKUP(A80,'Metering Ratio Score'!$A:$D,4,0)="","",VLOOKUP(A80,'Metering Ratio Score'!$A:$D,4,0)),"")</f>
        <v/>
      </c>
      <c r="AN80" s="87" t="str">
        <f>IFERROR(IF(VLOOKUP(A80,'Metering Ratio Score'!$A:$E,5,0)="","",VLOOKUP(A80,'Metering Ratio Score'!$A:$E,5,0)),"")</f>
        <v/>
      </c>
      <c r="AO80" s="87" t="str">
        <f>IFERROR(IF(VLOOKUP(A80,'Metering Ratio Score'!$A:$F,6,0)="","",VLOOKUP(A80,'Metering Ratio Score'!$A:$F,6,0)),"")</f>
        <v/>
      </c>
      <c r="AP80" s="87" t="str">
        <f>IFERROR(IF(VLOOKUP(A80,'Grievance Addressal'!$A:$C,3,0)="","",VLOOKUP(A80,'Grievance Addressal'!$A:$C,3,0)),"")</f>
        <v/>
      </c>
      <c r="AQ80" s="87" t="str">
        <f>IFERROR(IF(VLOOKUP(A80,'Grievance Addressal'!$A:$D,4,0)="","",VLOOKUP(A80,'Grievance Addressal'!$A:$D,4,0)),"")</f>
        <v/>
      </c>
      <c r="AR80" s="87" t="str">
        <f>IFERROR(IF(VLOOKUP(A80,'Grievance Addressal'!$A:$E,5,0)="","",VLOOKUP(A80,'Grievance Addressal'!$A:$E,5,0)),"")</f>
        <v/>
      </c>
      <c r="AS80" s="87" t="str">
        <f>IFERROR(IF(VLOOKUP(A80,Summary_Index!$A$5:$N$281,7,0)="","",VLOOKUP(A80,Summary_Index!$A$5:$N$281,7,0)),"")</f>
        <v/>
      </c>
      <c r="AT80" s="87" t="str">
        <f>IFERROR(IF(VLOOKUP(A80,Summary_Index!$A$5:$N$281,12,0)="","",VLOOKUP(A80,Summary_Index!$A$5:$N$281,12,0)),"")</f>
        <v/>
      </c>
      <c r="AU80" s="87" t="str">
        <f>IFERROR(IF(VLOOKUP(A80,Summary_Index!$A$5:$N$281,13,0)="","",VLOOKUP(A80,Summary_Index!$A$5:$N$281,13,0)),"")</f>
        <v/>
      </c>
      <c r="AV80" s="87" t="str">
        <f>IFERROR(IF(VLOOKUP(A80,Summary_Index!$A$5:$N$281,14,0)="","",VLOOKUP(A80,Summary_Index!$A$5:$N$281,14,0)),"")</f>
        <v/>
      </c>
    </row>
    <row r="81" spans="1:48" ht="45.6" customHeight="1" x14ac:dyDescent="0.3">
      <c r="A81" s="87">
        <f>Spatial!A81</f>
        <v>0</v>
      </c>
      <c r="B81" s="87">
        <f>Spatial!B81</f>
        <v>0</v>
      </c>
      <c r="C81" s="87">
        <f>Spatial!C81</f>
        <v>0</v>
      </c>
      <c r="D81" s="87">
        <f>Spatial!D81</f>
        <v>0</v>
      </c>
      <c r="E81" s="87">
        <f>Spatial!E81</f>
        <v>0</v>
      </c>
      <c r="F81" s="87">
        <f>Spatial!F81</f>
        <v>0</v>
      </c>
      <c r="G81" s="87">
        <f>IFERROR(Spatial!G81,"")</f>
        <v>0</v>
      </c>
      <c r="H81" s="37"/>
      <c r="I81" s="37"/>
      <c r="J81" s="87" t="str">
        <f t="shared" ref="J81:J92" si="3">F81&amp;"_"&amp;D81</f>
        <v>0_0</v>
      </c>
      <c r="K81" s="87" t="str">
        <f>IFERROR(IF(VLOOKUP(A81,'Service Coverage'!$A:$C,3,0)="","",VLOOKUP(A81,'Service Coverage'!$A:$C,3,0)),"")</f>
        <v/>
      </c>
      <c r="L81" s="87" t="str">
        <f>IFERROR(IF(VLOOKUP(A81,'Service Coverage'!$A:$D,4,0)="","",VLOOKUP(A81,'Service Coverage'!$A:$D,4,0)),"")</f>
        <v/>
      </c>
      <c r="M81" s="87" t="str">
        <f>IFERROR(IF(VLOOKUP(A81,'Service Coverage'!$A:$E,5,0)="","",VLOOKUP(A81,'Service Coverage'!$A:$E,5,0)),"")</f>
        <v/>
      </c>
      <c r="N81" s="87" t="str">
        <f>IFERROR(IF(VLOOKUP(A81,'Service Coverage'!$A:$F,6,0)="","",VLOOKUP(A81,'Service Coverage'!$A:$F,6,0)),"")</f>
        <v/>
      </c>
      <c r="O81" s="87" t="str">
        <f>IFERROR(IF(VLOOKUP(A81,'Service Coverage'!$A:$G,7,0)="","",VLOOKUP(A81,'Service Coverage'!$A:$G,7,0)),"")</f>
        <v/>
      </c>
      <c r="P81" s="87" t="str">
        <f>IFERROR(IF(VLOOKUP(A81,Adequacy!$A:$C,3,0)="","",VLOOKUP(A81,Adequacy!$A:$C,3,0)),"")</f>
        <v/>
      </c>
      <c r="Q81" s="87" t="str">
        <f>IFERROR(IF(VLOOKUP(A81,Adequacy!$A:$D,4,0)="","",VLOOKUP(A81,Adequacy!$A:$D,4,0)),"")</f>
        <v/>
      </c>
      <c r="R81" s="37" t="str">
        <f>IFERROR(IF(VLOOKUP(A81,Adequacy!$A:$E,5,0)="","",VLOOKUP(A81,Adequacy!$A:$E,5,0)),"")</f>
        <v/>
      </c>
      <c r="S81" s="37" t="str">
        <f>IFERROR(IF(VLOOKUP(A81,Adequacy!$A:$G,7,0)="","",VLOOKUP(A81,Adequacy!$A:$G,7,0)),"")</f>
        <v/>
      </c>
      <c r="T81" s="37" t="str">
        <f>IFERROR(IF(VLOOKUP(A81,Adequacy!$A:$H,8,0)="","",VLOOKUP(A81,Adequacy!$A:$H,8,0)),"")</f>
        <v/>
      </c>
      <c r="U81" s="37" t="str">
        <f>IFERROR(IF(VLOOKUP(A81,Adequacy!$A:$J,10,0)="","",VLOOKUP(A81,Adequacy!$A:$J,10,0)),"")</f>
        <v/>
      </c>
      <c r="V81" s="37" t="str">
        <f>IFERROR(IF(VLOOKUP(A81,'Water Quality Score'!$A:$C,3,0)="","",VLOOKUP(A81,'Water Quality Score'!$A:$C,3,0)),"")</f>
        <v/>
      </c>
      <c r="W81" s="87" t="str">
        <f>IFERROR(IF(VLOOKUP(A81,'Water Quality Score'!$A:$D,4,0)="","",VLOOKUP(A81,'Water Quality Score'!$A:$D,4,0)),"")</f>
        <v/>
      </c>
      <c r="X81" s="37" t="str">
        <f>IFERROR(IF(VLOOKUP(A81,'Water Quality Score'!$A:$E,5,0)="","",VLOOKUP(A81,'Water Quality Score'!$A:$E,5,0)),"")</f>
        <v/>
      </c>
      <c r="Y81" s="37" t="str">
        <f>IFERROR(IF(VLOOKUP(A81,'Water Quality Score'!$A:$F,6,0)="","",VLOOKUP(A81,'Water Quality Score'!$A:$F,6,0)),"")</f>
        <v/>
      </c>
      <c r="Z81" s="37" t="str">
        <f>IFERROR(IF(VLOOKUP(A81,'Reliability score'!$A:$C,3,0)="","",VLOOKUP(A81,'Reliability score'!$A:$C,3,0)),"")</f>
        <v/>
      </c>
      <c r="AA81" s="37" t="str">
        <f>IFERROR(IF(VLOOKUP(A81,'Reliability score'!$A:$D,4,0)="","",VLOOKUP(A81,'Reliability score'!$A:$D,4,0)),"")</f>
        <v/>
      </c>
      <c r="AB81" s="37" t="str">
        <f>IFERROR(IF(VLOOKUP(A81,NRW!$A:$C,3,0)="","",VLOOKUP(A81,NRW!$A:$C,3,0)),"")</f>
        <v/>
      </c>
      <c r="AC81" s="37" t="str">
        <f>IFERROR(IF(VLOOKUP(A81,NRW!$A:$D,4,0)="","",VLOOKUP(A81,NRW!$A:$D,4,0)),"")</f>
        <v/>
      </c>
      <c r="AD81" s="37" t="str">
        <f>IFERROR(IF(VLOOKUP(A81,NRW!$A:$E,5,0)="","",VLOOKUP(A81,NRW!$A:$E,5,0)),"")</f>
        <v/>
      </c>
      <c r="AE81" s="37" t="str">
        <f>IFERROR(IF(VLOOKUP(A81,NRW!$A:$F,6,0)="","",VLOOKUP(A81,NRW!$A:$F,6,0)),"")</f>
        <v/>
      </c>
      <c r="AF81" s="37" t="str">
        <f>IFERROR(IF(VLOOKUP(A81,NRW!$A:$G,7,0)="","",VLOOKUP(A81,NRW!$A:$G,7,0)),"")</f>
        <v/>
      </c>
      <c r="AG81" s="37" t="str">
        <f>IFERROR(IF(OR(VLOOKUP(A81,NRW!$A:$H,8,0)="",VLOOKUP(A81,NRW!$A:$H,8,0)=0),"",VLOOKUP(A81,NRW!$A:$H,8,0)),"")</f>
        <v/>
      </c>
      <c r="AH81" s="87" t="str">
        <f>IFERROR(IF(VLOOKUP(A81,'O&amp;M score'!$A:$D,4,0)="","",VLOOKUP(A81,'O&amp;M score'!$A:$D,4,0)),"")</f>
        <v/>
      </c>
      <c r="AI81" s="87" t="str">
        <f>IFERROR(IF(VLOOKUP(A81,'O&amp;M score'!$A:$E,5,0)="","",VLOOKUP(A81,'O&amp;M score'!$A:$E,5,0)),"")</f>
        <v/>
      </c>
      <c r="AJ81" s="87" t="str">
        <f>IFERROR(IF(VLOOKUP(A81,'O&amp;M score'!$A:$F,6,0)="","",VLOOKUP(A81,'O&amp;M score'!$A:$F,6,0)),"")</f>
        <v/>
      </c>
      <c r="AK81" s="87" t="str">
        <f>IFERROR(IF(VLOOKUP(A81,'O&amp;M score'!$A:$G,7,0)="","",VLOOKUP(A81,'O&amp;M score'!$A:$G,7,0)),"")</f>
        <v/>
      </c>
      <c r="AL81" s="87" t="str">
        <f>IFERROR(IF(VLOOKUP(A81,'Metering Ratio Score'!$A:$C,3,0)="","",VLOOKUP(A81,'Metering Ratio Score'!$A:$C,3,0)),"")</f>
        <v/>
      </c>
      <c r="AM81" s="87" t="str">
        <f>IFERROR(IF(VLOOKUP(A81,'Metering Ratio Score'!$A:$D,4,0)="","",VLOOKUP(A81,'Metering Ratio Score'!$A:$D,4,0)),"")</f>
        <v/>
      </c>
      <c r="AN81" s="87" t="str">
        <f>IFERROR(IF(VLOOKUP(A81,'Metering Ratio Score'!$A:$E,5,0)="","",VLOOKUP(A81,'Metering Ratio Score'!$A:$E,5,0)),"")</f>
        <v/>
      </c>
      <c r="AO81" s="87" t="str">
        <f>IFERROR(IF(VLOOKUP(A81,'Metering Ratio Score'!$A:$F,6,0)="","",VLOOKUP(A81,'Metering Ratio Score'!$A:$F,6,0)),"")</f>
        <v/>
      </c>
      <c r="AP81" s="87" t="str">
        <f>IFERROR(IF(VLOOKUP(A81,'Grievance Addressal'!$A:$C,3,0)="","",VLOOKUP(A81,'Grievance Addressal'!$A:$C,3,0)),"")</f>
        <v/>
      </c>
      <c r="AQ81" s="87" t="str">
        <f>IFERROR(IF(VLOOKUP(A81,'Grievance Addressal'!$A:$D,4,0)="","",VLOOKUP(A81,'Grievance Addressal'!$A:$D,4,0)),"")</f>
        <v/>
      </c>
      <c r="AR81" s="87" t="str">
        <f>IFERROR(IF(VLOOKUP(A81,'Grievance Addressal'!$A:$E,5,0)="","",VLOOKUP(A81,'Grievance Addressal'!$A:$E,5,0)),"")</f>
        <v/>
      </c>
      <c r="AS81" s="87" t="str">
        <f>IFERROR(IF(VLOOKUP(A81,Summary_Index!$A$5:$N$281,7,0)="","",VLOOKUP(A81,Summary_Index!$A$5:$N$281,7,0)),"")</f>
        <v/>
      </c>
      <c r="AT81" s="87" t="str">
        <f>IFERROR(IF(VLOOKUP(A81,Summary_Index!$A$5:$N$281,12,0)="","",VLOOKUP(A81,Summary_Index!$A$5:$N$281,12,0)),"")</f>
        <v/>
      </c>
      <c r="AU81" s="87" t="str">
        <f>IFERROR(IF(VLOOKUP(A81,Summary_Index!$A$5:$N$281,13,0)="","",VLOOKUP(A81,Summary_Index!$A$5:$N$281,13,0)),"")</f>
        <v/>
      </c>
      <c r="AV81" s="87" t="str">
        <f>IFERROR(IF(VLOOKUP(A81,Summary_Index!$A$5:$N$281,14,0)="","",VLOOKUP(A81,Summary_Index!$A$5:$N$281,14,0)),"")</f>
        <v/>
      </c>
    </row>
    <row r="82" spans="1:48" ht="45.6" customHeight="1" x14ac:dyDescent="0.3">
      <c r="A82" s="87">
        <f>Spatial!A82</f>
        <v>0</v>
      </c>
      <c r="B82" s="87">
        <f>Spatial!B82</f>
        <v>0</v>
      </c>
      <c r="C82" s="87">
        <f>Spatial!C82</f>
        <v>0</v>
      </c>
      <c r="D82" s="87">
        <f>Spatial!D82</f>
        <v>0</v>
      </c>
      <c r="E82" s="87">
        <f>Spatial!E82</f>
        <v>0</v>
      </c>
      <c r="F82" s="87">
        <f>Spatial!F82</f>
        <v>0</v>
      </c>
      <c r="G82" s="87">
        <f>IFERROR(Spatial!G82,"")</f>
        <v>0</v>
      </c>
      <c r="H82" s="37"/>
      <c r="I82" s="37"/>
      <c r="J82" s="87" t="str">
        <f t="shared" si="3"/>
        <v>0_0</v>
      </c>
      <c r="K82" s="87" t="str">
        <f>IFERROR(IF(VLOOKUP(A82,'Service Coverage'!$A:$C,3,0)="","",VLOOKUP(A82,'Service Coverage'!$A:$C,3,0)),"")</f>
        <v/>
      </c>
      <c r="L82" s="87" t="str">
        <f>IFERROR(IF(VLOOKUP(A82,'Service Coverage'!$A:$D,4,0)="","",VLOOKUP(A82,'Service Coverage'!$A:$D,4,0)),"")</f>
        <v/>
      </c>
      <c r="M82" s="87" t="str">
        <f>IFERROR(IF(VLOOKUP(A82,'Service Coverage'!$A:$E,5,0)="","",VLOOKUP(A82,'Service Coverage'!$A:$E,5,0)),"")</f>
        <v/>
      </c>
      <c r="N82" s="87" t="str">
        <f>IFERROR(IF(VLOOKUP(A82,'Service Coverage'!$A:$F,6,0)="","",VLOOKUP(A82,'Service Coverage'!$A:$F,6,0)),"")</f>
        <v/>
      </c>
      <c r="O82" s="87" t="str">
        <f>IFERROR(IF(VLOOKUP(A82,'Service Coverage'!$A:$G,7,0)="","",VLOOKUP(A82,'Service Coverage'!$A:$G,7,0)),"")</f>
        <v/>
      </c>
      <c r="P82" s="87" t="str">
        <f>IFERROR(IF(VLOOKUP(A82,Adequacy!$A:$C,3,0)="","",VLOOKUP(A82,Adequacy!$A:$C,3,0)),"")</f>
        <v/>
      </c>
      <c r="Q82" s="87" t="str">
        <f>IFERROR(IF(VLOOKUP(A82,Adequacy!$A:$D,4,0)="","",VLOOKUP(A82,Adequacy!$A:$D,4,0)),"")</f>
        <v/>
      </c>
      <c r="R82" s="37" t="str">
        <f>IFERROR(IF(VLOOKUP(A82,Adequacy!$A:$E,5,0)="","",VLOOKUP(A82,Adequacy!$A:$E,5,0)),"")</f>
        <v/>
      </c>
      <c r="S82" s="87" t="str">
        <f>IFERROR(IF(VLOOKUP(A82,Adequacy!$A:$G,7,0)="","",VLOOKUP(A82,Adequacy!$A:$G,7,0)),"")</f>
        <v/>
      </c>
      <c r="T82" s="37" t="str">
        <f>IFERROR(IF(VLOOKUP(A82,Adequacy!$A:$H,8,0)="","",VLOOKUP(A82,Adequacy!$A:$H,8,0)),"")</f>
        <v/>
      </c>
      <c r="U82" s="37" t="str">
        <f>IFERROR(IF(VLOOKUP(A82,Adequacy!$A:$J,10,0)="","",VLOOKUP(A82,Adequacy!$A:$J,10,0)),"")</f>
        <v/>
      </c>
      <c r="V82" s="37" t="str">
        <f>IFERROR(IF(VLOOKUP(A82,'Water Quality Score'!$A:$C,3,0)="","",VLOOKUP(A82,'Water Quality Score'!$A:$C,3,0)),"")</f>
        <v/>
      </c>
      <c r="W82" s="87" t="str">
        <f>IFERROR(IF(VLOOKUP(A82,'Water Quality Score'!$A:$D,4,0)="","",VLOOKUP(A82,'Water Quality Score'!$A:$D,4,0)),"")</f>
        <v/>
      </c>
      <c r="X82" s="37" t="str">
        <f>IFERROR(IF(VLOOKUP(A82,'Water Quality Score'!$A:$E,5,0)="","",VLOOKUP(A82,'Water Quality Score'!$A:$E,5,0)),"")</f>
        <v/>
      </c>
      <c r="Y82" s="37" t="str">
        <f>IFERROR(IF(VLOOKUP(A82,'Water Quality Score'!$A:$F,6,0)="","",VLOOKUP(A82,'Water Quality Score'!$A:$F,6,0)),"")</f>
        <v/>
      </c>
      <c r="Z82" s="37" t="str">
        <f>IFERROR(IF(VLOOKUP(A82,'Reliability score'!$A:$C,3,0)="","",VLOOKUP(A82,'Reliability score'!$A:$C,3,0)),"")</f>
        <v/>
      </c>
      <c r="AA82" s="37" t="str">
        <f>IFERROR(IF(VLOOKUP(A82,'Reliability score'!$A:$D,4,0)="","",VLOOKUP(A82,'Reliability score'!$A:$D,4,0)),"")</f>
        <v/>
      </c>
      <c r="AB82" s="37" t="str">
        <f>IFERROR(IF(VLOOKUP(A82,NRW!$A:$C,3,0)="","",VLOOKUP(A82,NRW!$A:$C,3,0)),"")</f>
        <v/>
      </c>
      <c r="AC82" s="37" t="str">
        <f>IFERROR(IF(VLOOKUP(A82,NRW!$A:$D,4,0)="","",VLOOKUP(A82,NRW!$A:$D,4,0)),"")</f>
        <v/>
      </c>
      <c r="AD82" s="37" t="str">
        <f>IFERROR(IF(VLOOKUP(A82,NRW!$A:$E,5,0)="","",VLOOKUP(A82,NRW!$A:$E,5,0)),"")</f>
        <v/>
      </c>
      <c r="AE82" s="37" t="str">
        <f>IFERROR(IF(VLOOKUP(A82,NRW!$A:$F,6,0)="","",VLOOKUP(A82,NRW!$A:$F,6,0)),"")</f>
        <v/>
      </c>
      <c r="AF82" s="37" t="str">
        <f>IFERROR(IF(VLOOKUP(A82,NRW!$A:$G,7,0)="","",VLOOKUP(A82,NRW!$A:$G,7,0)),"")</f>
        <v/>
      </c>
      <c r="AG82" s="37" t="str">
        <f>IFERROR(IF(OR(VLOOKUP(A82,NRW!$A:$H,8,0)="",VLOOKUP(A82,NRW!$A:$H,8,0)=0),"",VLOOKUP(A82,NRW!$A:$H,8,0)),"")</f>
        <v/>
      </c>
      <c r="AH82" s="87" t="str">
        <f>IFERROR(IF(VLOOKUP(A82,'O&amp;M score'!$A:$D,4,0)="","",VLOOKUP(A82,'O&amp;M score'!$A:$D,4,0)),"")</f>
        <v/>
      </c>
      <c r="AI82" s="87" t="str">
        <f>IFERROR(IF(VLOOKUP(A82,'O&amp;M score'!$A:$E,5,0)="","",VLOOKUP(A82,'O&amp;M score'!$A:$E,5,0)),"")</f>
        <v/>
      </c>
      <c r="AJ82" s="87" t="str">
        <f>IFERROR(IF(VLOOKUP(A82,'O&amp;M score'!$A:$F,6,0)="","",VLOOKUP(A82,'O&amp;M score'!$A:$F,6,0)),"")</f>
        <v/>
      </c>
      <c r="AK82" s="87" t="str">
        <f>IFERROR(IF(VLOOKUP(A82,'O&amp;M score'!$A:$G,7,0)="","",VLOOKUP(A82,'O&amp;M score'!$A:$G,7,0)),"")</f>
        <v/>
      </c>
      <c r="AL82" s="87" t="str">
        <f>IFERROR(IF(VLOOKUP(A82,'Metering Ratio Score'!$A:$C,3,0)="","",VLOOKUP(A82,'Metering Ratio Score'!$A:$C,3,0)),"")</f>
        <v/>
      </c>
      <c r="AM82" s="87" t="str">
        <f>IFERROR(IF(VLOOKUP(A82,'Metering Ratio Score'!$A:$D,4,0)="","",VLOOKUP(A82,'Metering Ratio Score'!$A:$D,4,0)),"")</f>
        <v/>
      </c>
      <c r="AN82" s="87" t="str">
        <f>IFERROR(IF(VLOOKUP(A82,'Metering Ratio Score'!$A:$E,5,0)="","",VLOOKUP(A82,'Metering Ratio Score'!$A:$E,5,0)),"")</f>
        <v/>
      </c>
      <c r="AO82" s="87" t="str">
        <f>IFERROR(IF(VLOOKUP(A82,'Metering Ratio Score'!$A:$F,6,0)="","",VLOOKUP(A82,'Metering Ratio Score'!$A:$F,6,0)),"")</f>
        <v/>
      </c>
      <c r="AP82" s="87" t="str">
        <f>IFERROR(IF(VLOOKUP(A82,'Grievance Addressal'!$A:$C,3,0)="","",VLOOKUP(A82,'Grievance Addressal'!$A:$C,3,0)),"")</f>
        <v/>
      </c>
      <c r="AQ82" s="87" t="str">
        <f>IFERROR(IF(VLOOKUP(A82,'Grievance Addressal'!$A:$D,4,0)="","",VLOOKUP(A82,'Grievance Addressal'!$A:$D,4,0)),"")</f>
        <v/>
      </c>
      <c r="AR82" s="87" t="str">
        <f>IFERROR(IF(VLOOKUP(A82,'Grievance Addressal'!$A:$E,5,0)="","",VLOOKUP(A82,'Grievance Addressal'!$A:$E,5,0)),"")</f>
        <v/>
      </c>
      <c r="AS82" s="87" t="str">
        <f>IFERROR(IF(VLOOKUP(A82,Summary_Index!$A$5:$N$281,7,0)="","",VLOOKUP(A82,Summary_Index!$A$5:$N$281,7,0)),"")</f>
        <v/>
      </c>
      <c r="AT82" s="87" t="str">
        <f>IFERROR(IF(VLOOKUP(A82,Summary_Index!$A$5:$N$281,12,0)="","",VLOOKUP(A82,Summary_Index!$A$5:$N$281,12,0)),"")</f>
        <v/>
      </c>
      <c r="AU82" s="87" t="str">
        <f>IFERROR(IF(VLOOKUP(A82,Summary_Index!$A$5:$N$281,13,0)="","",VLOOKUP(A82,Summary_Index!$A$5:$N$281,13,0)),"")</f>
        <v/>
      </c>
      <c r="AV82" s="87" t="str">
        <f>IFERROR(IF(VLOOKUP(A82,Summary_Index!$A$5:$N$281,14,0)="","",VLOOKUP(A82,Summary_Index!$A$5:$N$281,14,0)),"")</f>
        <v/>
      </c>
    </row>
    <row r="83" spans="1:48" ht="45.6" customHeight="1" x14ac:dyDescent="0.3">
      <c r="A83" s="87">
        <f>Spatial!A83</f>
        <v>0</v>
      </c>
      <c r="B83" s="87">
        <f>Spatial!B83</f>
        <v>0</v>
      </c>
      <c r="C83" s="87">
        <f>Spatial!C83</f>
        <v>0</v>
      </c>
      <c r="D83" s="87">
        <f>Spatial!D83</f>
        <v>0</v>
      </c>
      <c r="E83" s="87">
        <f>Spatial!E83</f>
        <v>0</v>
      </c>
      <c r="F83" s="87">
        <f>Spatial!F83</f>
        <v>0</v>
      </c>
      <c r="G83" s="87">
        <f>IFERROR(Spatial!G83,"")</f>
        <v>0</v>
      </c>
      <c r="H83" s="37"/>
      <c r="I83" s="37"/>
      <c r="J83" s="87" t="str">
        <f t="shared" si="3"/>
        <v>0_0</v>
      </c>
      <c r="K83" s="87" t="str">
        <f>IFERROR(IF(VLOOKUP(A83,'Service Coverage'!$A:$C,3,0)="","",VLOOKUP(A83,'Service Coverage'!$A:$C,3,0)),"")</f>
        <v/>
      </c>
      <c r="L83" s="87" t="str">
        <f>IFERROR(IF(VLOOKUP(A83,'Service Coverage'!$A:$D,4,0)="","",VLOOKUP(A83,'Service Coverage'!$A:$D,4,0)),"")</f>
        <v/>
      </c>
      <c r="M83" s="87" t="str">
        <f>IFERROR(IF(VLOOKUP(A83,'Service Coverage'!$A:$E,5,0)="","",VLOOKUP(A83,'Service Coverage'!$A:$E,5,0)),"")</f>
        <v/>
      </c>
      <c r="N83" s="87" t="str">
        <f>IFERROR(IF(VLOOKUP(A83,'Service Coverage'!$A:$F,6,0)="","",VLOOKUP(A83,'Service Coverage'!$A:$F,6,0)),"")</f>
        <v/>
      </c>
      <c r="O83" s="87" t="str">
        <f>IFERROR(IF(VLOOKUP(A83,'Service Coverage'!$A:$G,7,0)="","",VLOOKUP(A83,'Service Coverage'!$A:$G,7,0)),"")</f>
        <v/>
      </c>
      <c r="P83" s="87" t="str">
        <f>IFERROR(IF(VLOOKUP(A83,Adequacy!$A:$C,3,0)="","",VLOOKUP(A83,Adequacy!$A:$C,3,0)),"")</f>
        <v/>
      </c>
      <c r="Q83" s="87" t="str">
        <f>IFERROR(IF(VLOOKUP(A83,Adequacy!$A:$D,4,0)="","",VLOOKUP(A83,Adequacy!$A:$D,4,0)),"")</f>
        <v/>
      </c>
      <c r="R83" s="37" t="str">
        <f>IFERROR(IF(VLOOKUP(A83,Adequacy!$A:$E,5,0)="","",VLOOKUP(A83,Adequacy!$A:$E,5,0)),"")</f>
        <v/>
      </c>
      <c r="S83" s="87" t="str">
        <f>IFERROR(IF(VLOOKUP(A83,Adequacy!$A:$G,7,0)="","",VLOOKUP(A83,Adequacy!$A:$G,7,0)),"")</f>
        <v/>
      </c>
      <c r="T83" s="37" t="str">
        <f>IFERROR(IF(VLOOKUP(A83,Adequacy!$A:$H,8,0)="","",VLOOKUP(A83,Adequacy!$A:$H,8,0)),"")</f>
        <v/>
      </c>
      <c r="U83" s="37" t="str">
        <f>IFERROR(IF(VLOOKUP(A83,Adequacy!$A:$J,10,0)="","",VLOOKUP(A83,Adequacy!$A:$J,10,0)),"")</f>
        <v/>
      </c>
      <c r="V83" s="37" t="str">
        <f>IFERROR(IF(VLOOKUP(A83,'Water Quality Score'!$A:$C,3,0)="","",VLOOKUP(A83,'Water Quality Score'!$A:$C,3,0)),"")</f>
        <v/>
      </c>
      <c r="W83" s="87" t="str">
        <f>IFERROR(IF(VLOOKUP(A83,'Water Quality Score'!$A:$D,4,0)="","",VLOOKUP(A83,'Water Quality Score'!$A:$D,4,0)),"")</f>
        <v/>
      </c>
      <c r="X83" s="37" t="str">
        <f>IFERROR(IF(VLOOKUP(A83,'Water Quality Score'!$A:$E,5,0)="","",VLOOKUP(A83,'Water Quality Score'!$A:$E,5,0)),"")</f>
        <v/>
      </c>
      <c r="Y83" s="37" t="str">
        <f>IFERROR(IF(VLOOKUP(A83,'Water Quality Score'!$A:$F,6,0)="","",VLOOKUP(A83,'Water Quality Score'!$A:$F,6,0)),"")</f>
        <v/>
      </c>
      <c r="Z83" s="37" t="str">
        <f>IFERROR(IF(VLOOKUP(A83,'Reliability score'!$A:$C,3,0)="","",VLOOKUP(A83,'Reliability score'!$A:$C,3,0)),"")</f>
        <v/>
      </c>
      <c r="AA83" s="37" t="str">
        <f>IFERROR(IF(VLOOKUP(A83,'Reliability score'!$A:$D,4,0)="","",VLOOKUP(A83,'Reliability score'!$A:$D,4,0)),"")</f>
        <v/>
      </c>
      <c r="AB83" s="37" t="str">
        <f>IFERROR(IF(VLOOKUP(A83,NRW!$A:$C,3,0)="","",VLOOKUP(A83,NRW!$A:$C,3,0)),"")</f>
        <v/>
      </c>
      <c r="AC83" s="37" t="str">
        <f>IFERROR(IF(VLOOKUP(A83,NRW!$A:$D,4,0)="","",VLOOKUP(A83,NRW!$A:$D,4,0)),"")</f>
        <v/>
      </c>
      <c r="AD83" s="37" t="str">
        <f>IFERROR(IF(VLOOKUP(A83,NRW!$A:$E,5,0)="","",VLOOKUP(A83,NRW!$A:$E,5,0)),"")</f>
        <v/>
      </c>
      <c r="AE83" s="37" t="str">
        <f>IFERROR(IF(VLOOKUP(A83,NRW!$A:$F,6,0)="","",VLOOKUP(A83,NRW!$A:$F,6,0)),"")</f>
        <v/>
      </c>
      <c r="AF83" s="37" t="str">
        <f>IFERROR(IF(VLOOKUP(A83,NRW!$A:$G,7,0)="","",VLOOKUP(A83,NRW!$A:$G,7,0)),"")</f>
        <v/>
      </c>
      <c r="AG83" s="37" t="str">
        <f>IFERROR(IF(OR(VLOOKUP(A83,NRW!$A:$H,8,0)="",VLOOKUP(A83,NRW!$A:$H,8,0)=0),"",VLOOKUP(A83,NRW!$A:$H,8,0)),"")</f>
        <v/>
      </c>
      <c r="AH83" s="87" t="str">
        <f>IFERROR(IF(VLOOKUP(A83,'O&amp;M score'!$A:$D,4,0)="","",VLOOKUP(A83,'O&amp;M score'!$A:$D,4,0)),"")</f>
        <v/>
      </c>
      <c r="AI83" s="87" t="str">
        <f>IFERROR(IF(VLOOKUP(A83,'O&amp;M score'!$A:$E,5,0)="","",VLOOKUP(A83,'O&amp;M score'!$A:$E,5,0)),"")</f>
        <v/>
      </c>
      <c r="AJ83" s="87" t="str">
        <f>IFERROR(IF(VLOOKUP(A83,'O&amp;M score'!$A:$F,6,0)="","",VLOOKUP(A83,'O&amp;M score'!$A:$F,6,0)),"")</f>
        <v/>
      </c>
      <c r="AK83" s="87" t="str">
        <f>IFERROR(IF(VLOOKUP(A83,'O&amp;M score'!$A:$G,7,0)="","",VLOOKUP(A83,'O&amp;M score'!$A:$G,7,0)),"")</f>
        <v/>
      </c>
      <c r="AL83" s="87" t="str">
        <f>IFERROR(IF(VLOOKUP(A83,'Metering Ratio Score'!$A:$C,3,0)="","",VLOOKUP(A83,'Metering Ratio Score'!$A:$C,3,0)),"")</f>
        <v/>
      </c>
      <c r="AM83" s="87" t="str">
        <f>IFERROR(IF(VLOOKUP(A83,'Metering Ratio Score'!$A:$D,4,0)="","",VLOOKUP(A83,'Metering Ratio Score'!$A:$D,4,0)),"")</f>
        <v/>
      </c>
      <c r="AN83" s="87" t="str">
        <f>IFERROR(IF(VLOOKUP(A83,'Metering Ratio Score'!$A:$E,5,0)="","",VLOOKUP(A83,'Metering Ratio Score'!$A:$E,5,0)),"")</f>
        <v/>
      </c>
      <c r="AO83" s="87" t="str">
        <f>IFERROR(IF(VLOOKUP(A83,'Metering Ratio Score'!$A:$F,6,0)="","",VLOOKUP(A83,'Metering Ratio Score'!$A:$F,6,0)),"")</f>
        <v/>
      </c>
      <c r="AP83" s="87" t="str">
        <f>IFERROR(IF(VLOOKUP(A83,'Grievance Addressal'!$A:$C,3,0)="","",VLOOKUP(A83,'Grievance Addressal'!$A:$C,3,0)),"")</f>
        <v/>
      </c>
      <c r="AQ83" s="87" t="str">
        <f>IFERROR(IF(VLOOKUP(A83,'Grievance Addressal'!$A:$D,4,0)="","",VLOOKUP(A83,'Grievance Addressal'!$A:$D,4,0)),"")</f>
        <v/>
      </c>
      <c r="AR83" s="87" t="str">
        <f>IFERROR(IF(VLOOKUP(A83,'Grievance Addressal'!$A:$E,5,0)="","",VLOOKUP(A83,'Grievance Addressal'!$A:$E,5,0)),"")</f>
        <v/>
      </c>
      <c r="AS83" s="87" t="str">
        <f>IFERROR(IF(VLOOKUP(A83,Summary_Index!$A$5:$N$281,7,0)="","",VLOOKUP(A83,Summary_Index!$A$5:$N$281,7,0)),"")</f>
        <v/>
      </c>
      <c r="AT83" s="87" t="str">
        <f>IFERROR(IF(VLOOKUP(A83,Summary_Index!$A$5:$N$281,12,0)="","",VLOOKUP(A83,Summary_Index!$A$5:$N$281,12,0)),"")</f>
        <v/>
      </c>
      <c r="AU83" s="87" t="str">
        <f>IFERROR(IF(VLOOKUP(A83,Summary_Index!$A$5:$N$281,13,0)="","",VLOOKUP(A83,Summary_Index!$A$5:$N$281,13,0)),"")</f>
        <v/>
      </c>
      <c r="AV83" s="87" t="str">
        <f>IFERROR(IF(VLOOKUP(A83,Summary_Index!$A$5:$N$281,14,0)="","",VLOOKUP(A83,Summary_Index!$A$5:$N$281,14,0)),"")</f>
        <v/>
      </c>
    </row>
    <row r="84" spans="1:48" ht="45.6" customHeight="1" x14ac:dyDescent="0.3">
      <c r="A84" s="87">
        <f>Spatial!A84</f>
        <v>0</v>
      </c>
      <c r="B84" s="87">
        <f>Spatial!B84</f>
        <v>0</v>
      </c>
      <c r="C84" s="87">
        <f>Spatial!C84</f>
        <v>0</v>
      </c>
      <c r="D84" s="87">
        <f>Spatial!D84</f>
        <v>0</v>
      </c>
      <c r="E84" s="87">
        <f>Spatial!E84</f>
        <v>0</v>
      </c>
      <c r="F84" s="87">
        <f>Spatial!F84</f>
        <v>0</v>
      </c>
      <c r="G84" s="87">
        <f>IFERROR(Spatial!G84,"")</f>
        <v>0</v>
      </c>
      <c r="H84" s="37"/>
      <c r="I84" s="37"/>
      <c r="J84" s="87" t="str">
        <f t="shared" si="3"/>
        <v>0_0</v>
      </c>
      <c r="K84" s="87" t="str">
        <f>IFERROR(IF(VLOOKUP(A84,'Service Coverage'!$A:$C,3,0)="","",VLOOKUP(A84,'Service Coverage'!$A:$C,3,0)),"")</f>
        <v/>
      </c>
      <c r="L84" s="87" t="str">
        <f>IFERROR(IF(VLOOKUP(A84,'Service Coverage'!$A:$D,4,0)="","",VLOOKUP(A84,'Service Coverage'!$A:$D,4,0)),"")</f>
        <v/>
      </c>
      <c r="M84" s="87" t="str">
        <f>IFERROR(IF(VLOOKUP(A84,'Service Coverage'!$A:$E,5,0)="","",VLOOKUP(A84,'Service Coverage'!$A:$E,5,0)),"")</f>
        <v/>
      </c>
      <c r="N84" s="87" t="str">
        <f>IFERROR(IF(VLOOKUP(A84,'Service Coverage'!$A:$F,6,0)="","",VLOOKUP(A84,'Service Coverage'!$A:$F,6,0)),"")</f>
        <v/>
      </c>
      <c r="O84" s="87" t="str">
        <f>IFERROR(IF(VLOOKUP(A84,'Service Coverage'!$A:$G,7,0)="","",VLOOKUP(A84,'Service Coverage'!$A:$G,7,0)),"")</f>
        <v/>
      </c>
      <c r="P84" s="87" t="str">
        <f>IFERROR(IF(VLOOKUP(A84,Adequacy!$A:$C,3,0)="","",VLOOKUP(A84,Adequacy!$A:$C,3,0)),"")</f>
        <v/>
      </c>
      <c r="Q84" s="87" t="str">
        <f>IFERROR(IF(VLOOKUP(A84,Adequacy!$A:$D,4,0)="","",VLOOKUP(A84,Adequacy!$A:$D,4,0)),"")</f>
        <v/>
      </c>
      <c r="R84" s="37" t="str">
        <f>IFERROR(IF(VLOOKUP(A84,Adequacy!$A:$E,5,0)="","",VLOOKUP(A84,Adequacy!$A:$E,5,0)),"")</f>
        <v/>
      </c>
      <c r="S84" s="87" t="str">
        <f>IFERROR(IF(VLOOKUP(A84,Adequacy!$A:$G,7,0)="","",VLOOKUP(A84,Adequacy!$A:$G,7,0)),"")</f>
        <v/>
      </c>
      <c r="T84" s="37" t="str">
        <f>IFERROR(IF(VLOOKUP(A84,Adequacy!$A:$H,8,0)="","",VLOOKUP(A84,Adequacy!$A:$H,8,0)),"")</f>
        <v/>
      </c>
      <c r="U84" s="37" t="str">
        <f>IFERROR(IF(VLOOKUP(A84,Adequacy!$A:$J,10,0)="","",VLOOKUP(A84,Adequacy!$A:$J,10,0)),"")</f>
        <v/>
      </c>
      <c r="V84" s="37" t="str">
        <f>IFERROR(IF(VLOOKUP(A84,'Water Quality Score'!$A:$C,3,0)="","",VLOOKUP(A84,'Water Quality Score'!$A:$C,3,0)),"")</f>
        <v/>
      </c>
      <c r="W84" s="87" t="str">
        <f>IFERROR(IF(VLOOKUP(A84,'Water Quality Score'!$A:$D,4,0)="","",VLOOKUP(A84,'Water Quality Score'!$A:$D,4,0)),"")</f>
        <v/>
      </c>
      <c r="X84" s="37" t="str">
        <f>IFERROR(IF(VLOOKUP(A84,'Water Quality Score'!$A:$E,5,0)="","",VLOOKUP(A84,'Water Quality Score'!$A:$E,5,0)),"")</f>
        <v/>
      </c>
      <c r="Y84" s="37" t="str">
        <f>IFERROR(IF(VLOOKUP(A84,'Water Quality Score'!$A:$F,6,0)="","",VLOOKUP(A84,'Water Quality Score'!$A:$F,6,0)),"")</f>
        <v/>
      </c>
      <c r="Z84" s="37" t="str">
        <f>IFERROR(IF(VLOOKUP(A84,'Reliability score'!$A:$C,3,0)="","",VLOOKUP(A84,'Reliability score'!$A:$C,3,0)),"")</f>
        <v/>
      </c>
      <c r="AA84" s="37" t="str">
        <f>IFERROR(IF(VLOOKUP(A84,'Reliability score'!$A:$D,4,0)="","",VLOOKUP(A84,'Reliability score'!$A:$D,4,0)),"")</f>
        <v/>
      </c>
      <c r="AB84" s="37" t="str">
        <f>IFERROR(IF(VLOOKUP(A84,NRW!$A:$C,3,0)="","",VLOOKUP(A84,NRW!$A:$C,3,0)),"")</f>
        <v/>
      </c>
      <c r="AC84" s="37" t="str">
        <f>IFERROR(IF(VLOOKUP(A84,NRW!$A:$D,4,0)="","",VLOOKUP(A84,NRW!$A:$D,4,0)),"")</f>
        <v/>
      </c>
      <c r="AD84" s="37" t="str">
        <f>IFERROR(IF(VLOOKUP(A84,NRW!$A:$E,5,0)="","",VLOOKUP(A84,NRW!$A:$E,5,0)),"")</f>
        <v/>
      </c>
      <c r="AE84" s="37" t="str">
        <f>IFERROR(IF(VLOOKUP(A84,NRW!$A:$F,6,0)="","",VLOOKUP(A84,NRW!$A:$F,6,0)),"")</f>
        <v/>
      </c>
      <c r="AF84" s="37" t="str">
        <f>IFERROR(IF(VLOOKUP(A84,NRW!$A:$G,7,0)="","",VLOOKUP(A84,NRW!$A:$G,7,0)),"")</f>
        <v/>
      </c>
      <c r="AG84" s="37" t="str">
        <f>IFERROR(IF(OR(VLOOKUP(A84,NRW!$A:$H,8,0)="",VLOOKUP(A84,NRW!$A:$H,8,0)=0),"",VLOOKUP(A84,NRW!$A:$H,8,0)),"")</f>
        <v/>
      </c>
      <c r="AH84" s="87" t="str">
        <f>IFERROR(IF(VLOOKUP(A84,'O&amp;M score'!$A:$D,4,0)="","",VLOOKUP(A84,'O&amp;M score'!$A:$D,4,0)),"")</f>
        <v/>
      </c>
      <c r="AI84" s="87" t="str">
        <f>IFERROR(IF(VLOOKUP(A84,'O&amp;M score'!$A:$E,5,0)="","",VLOOKUP(A84,'O&amp;M score'!$A:$E,5,0)),"")</f>
        <v/>
      </c>
      <c r="AJ84" s="87" t="str">
        <f>IFERROR(IF(VLOOKUP(A84,'O&amp;M score'!$A:$F,6,0)="","",VLOOKUP(A84,'O&amp;M score'!$A:$F,6,0)),"")</f>
        <v/>
      </c>
      <c r="AK84" s="87" t="str">
        <f>IFERROR(IF(VLOOKUP(A84,'O&amp;M score'!$A:$G,7,0)="","",VLOOKUP(A84,'O&amp;M score'!$A:$G,7,0)),"")</f>
        <v/>
      </c>
      <c r="AL84" s="87" t="str">
        <f>IFERROR(IF(VLOOKUP(A84,'Metering Ratio Score'!$A:$C,3,0)="","",VLOOKUP(A84,'Metering Ratio Score'!$A:$C,3,0)),"")</f>
        <v/>
      </c>
      <c r="AM84" s="87" t="str">
        <f>IFERROR(IF(VLOOKUP(A84,'Metering Ratio Score'!$A:$D,4,0)="","",VLOOKUP(A84,'Metering Ratio Score'!$A:$D,4,0)),"")</f>
        <v/>
      </c>
      <c r="AN84" s="87" t="str">
        <f>IFERROR(IF(VLOOKUP(A84,'Metering Ratio Score'!$A:$E,5,0)="","",VLOOKUP(A84,'Metering Ratio Score'!$A:$E,5,0)),"")</f>
        <v/>
      </c>
      <c r="AO84" s="87" t="str">
        <f>IFERROR(IF(VLOOKUP(A84,'Metering Ratio Score'!$A:$F,6,0)="","",VLOOKUP(A84,'Metering Ratio Score'!$A:$F,6,0)),"")</f>
        <v/>
      </c>
      <c r="AP84" s="87" t="str">
        <f>IFERROR(IF(VLOOKUP(A84,'Grievance Addressal'!$A:$C,3,0)="","",VLOOKUP(A84,'Grievance Addressal'!$A:$C,3,0)),"")</f>
        <v/>
      </c>
      <c r="AQ84" s="87" t="str">
        <f>IFERROR(IF(VLOOKUP(A84,'Grievance Addressal'!$A:$D,4,0)="","",VLOOKUP(A84,'Grievance Addressal'!$A:$D,4,0)),"")</f>
        <v/>
      </c>
      <c r="AR84" s="87" t="str">
        <f>IFERROR(IF(VLOOKUP(A84,'Grievance Addressal'!$A:$E,5,0)="","",VLOOKUP(A84,'Grievance Addressal'!$A:$E,5,0)),"")</f>
        <v/>
      </c>
      <c r="AS84" s="87" t="str">
        <f>IFERROR(IF(VLOOKUP(A84,Summary_Index!$A$5:$N$281,7,0)="","",VLOOKUP(A84,Summary_Index!$A$5:$N$281,7,0)),"")</f>
        <v/>
      </c>
      <c r="AT84" s="87" t="str">
        <f>IFERROR(IF(VLOOKUP(A84,Summary_Index!$A$5:$N$281,12,0)="","",VLOOKUP(A84,Summary_Index!$A$5:$N$281,12,0)),"")</f>
        <v/>
      </c>
      <c r="AU84" s="87" t="str">
        <f>IFERROR(IF(VLOOKUP(A84,Summary_Index!$A$5:$N$281,13,0)="","",VLOOKUP(A84,Summary_Index!$A$5:$N$281,13,0)),"")</f>
        <v/>
      </c>
      <c r="AV84" s="87" t="str">
        <f>IFERROR(IF(VLOOKUP(A84,Summary_Index!$A$5:$N$281,14,0)="","",VLOOKUP(A84,Summary_Index!$A$5:$N$281,14,0)),"")</f>
        <v/>
      </c>
    </row>
    <row r="85" spans="1:48" ht="45.6" customHeight="1" x14ac:dyDescent="0.3">
      <c r="A85" s="87">
        <f>Spatial!A85</f>
        <v>0</v>
      </c>
      <c r="B85" s="87">
        <f>Spatial!B85</f>
        <v>0</v>
      </c>
      <c r="C85" s="87">
        <f>Spatial!C85</f>
        <v>0</v>
      </c>
      <c r="D85" s="87">
        <f>Spatial!D85</f>
        <v>0</v>
      </c>
      <c r="E85" s="87">
        <f>Spatial!E85</f>
        <v>0</v>
      </c>
      <c r="F85" s="87">
        <f>Spatial!F85</f>
        <v>0</v>
      </c>
      <c r="G85" s="87">
        <f>IFERROR(Spatial!G85,"")</f>
        <v>0</v>
      </c>
      <c r="H85" s="37"/>
      <c r="I85" s="37"/>
      <c r="J85" s="87" t="str">
        <f t="shared" si="3"/>
        <v>0_0</v>
      </c>
      <c r="K85" s="87" t="str">
        <f>IFERROR(IF(VLOOKUP(A85,'Service Coverage'!$A:$C,3,0)="","",VLOOKUP(A85,'Service Coverage'!$A:$C,3,0)),"")</f>
        <v/>
      </c>
      <c r="L85" s="87" t="str">
        <f>IFERROR(IF(VLOOKUP(A85,'Service Coverage'!$A:$D,4,0)="","",VLOOKUP(A85,'Service Coverage'!$A:$D,4,0)),"")</f>
        <v/>
      </c>
      <c r="M85" s="87" t="str">
        <f>IFERROR(IF(VLOOKUP(A85,'Service Coverage'!$A:$E,5,0)="","",VLOOKUP(A85,'Service Coverage'!$A:$E,5,0)),"")</f>
        <v/>
      </c>
      <c r="N85" s="87" t="str">
        <f>IFERROR(IF(VLOOKUP(A85,'Service Coverage'!$A:$F,6,0)="","",VLOOKUP(A85,'Service Coverage'!$A:$F,6,0)),"")</f>
        <v/>
      </c>
      <c r="O85" s="87" t="str">
        <f>IFERROR(IF(VLOOKUP(A85,'Service Coverage'!$A:$G,7,0)="","",VLOOKUP(A85,'Service Coverage'!$A:$G,7,0)),"")</f>
        <v/>
      </c>
      <c r="P85" s="87" t="str">
        <f>IFERROR(IF(VLOOKUP(A85,Adequacy!$A:$C,3,0)="","",VLOOKUP(A85,Adequacy!$A:$C,3,0)),"")</f>
        <v/>
      </c>
      <c r="Q85" s="87" t="str">
        <f>IFERROR(IF(VLOOKUP(A85,Adequacy!$A:$D,4,0)="","",VLOOKUP(A85,Adequacy!$A:$D,4,0)),"")</f>
        <v/>
      </c>
      <c r="R85" s="37" t="str">
        <f>IFERROR(IF(VLOOKUP(A85,Adequacy!$A:$E,5,0)="","",VLOOKUP(A85,Adequacy!$A:$E,5,0)),"")</f>
        <v/>
      </c>
      <c r="S85" s="87" t="str">
        <f>IFERROR(IF(VLOOKUP(A85,Adequacy!$A:$G,7,0)="","",VLOOKUP(A85,Adequacy!$A:$G,7,0)),"")</f>
        <v/>
      </c>
      <c r="T85" s="37" t="str">
        <f>IFERROR(IF(VLOOKUP(A85,Adequacy!$A:$H,8,0)="","",VLOOKUP(A85,Adequacy!$A:$H,8,0)),"")</f>
        <v/>
      </c>
      <c r="U85" s="37" t="str">
        <f>IFERROR(IF(VLOOKUP(A85,Adequacy!$A:$J,10,0)="","",VLOOKUP(A85,Adequacy!$A:$J,10,0)),"")</f>
        <v/>
      </c>
      <c r="V85" s="37" t="str">
        <f>IFERROR(IF(VLOOKUP(A85,'Water Quality Score'!$A:$C,3,0)="","",VLOOKUP(A85,'Water Quality Score'!$A:$C,3,0)),"")</f>
        <v/>
      </c>
      <c r="W85" s="87" t="str">
        <f>IFERROR(IF(VLOOKUP(A85,'Water Quality Score'!$A:$D,4,0)="","",VLOOKUP(A85,'Water Quality Score'!$A:$D,4,0)),"")</f>
        <v/>
      </c>
      <c r="X85" s="37" t="str">
        <f>IFERROR(IF(VLOOKUP(A85,'Water Quality Score'!$A:$E,5,0)="","",VLOOKUP(A85,'Water Quality Score'!$A:$E,5,0)),"")</f>
        <v/>
      </c>
      <c r="Y85" s="37" t="str">
        <f>IFERROR(IF(VLOOKUP(A85,'Water Quality Score'!$A:$F,6,0)="","",VLOOKUP(A85,'Water Quality Score'!$A:$F,6,0)),"")</f>
        <v/>
      </c>
      <c r="Z85" s="37" t="str">
        <f>IFERROR(IF(VLOOKUP(A85,'Reliability score'!$A:$C,3,0)="","",VLOOKUP(A85,'Reliability score'!$A:$C,3,0)),"")</f>
        <v/>
      </c>
      <c r="AA85" s="37" t="str">
        <f>IFERROR(IF(VLOOKUP(A85,'Reliability score'!$A:$D,4,0)="","",VLOOKUP(A85,'Reliability score'!$A:$D,4,0)),"")</f>
        <v/>
      </c>
      <c r="AB85" s="37" t="str">
        <f>IFERROR(IF(VLOOKUP(A85,NRW!$A:$C,3,0)="","",VLOOKUP(A85,NRW!$A:$C,3,0)),"")</f>
        <v/>
      </c>
      <c r="AC85" s="37" t="str">
        <f>IFERROR(IF(VLOOKUP(A85,NRW!$A:$D,4,0)="","",VLOOKUP(A85,NRW!$A:$D,4,0)),"")</f>
        <v/>
      </c>
      <c r="AD85" s="37" t="str">
        <f>IFERROR(IF(VLOOKUP(A85,NRW!$A:$E,5,0)="","",VLOOKUP(A85,NRW!$A:$E,5,0)),"")</f>
        <v/>
      </c>
      <c r="AE85" s="37" t="str">
        <f>IFERROR(IF(VLOOKUP(A85,NRW!$A:$F,6,0)="","",VLOOKUP(A85,NRW!$A:$F,6,0)),"")</f>
        <v/>
      </c>
      <c r="AF85" s="37" t="str">
        <f>IFERROR(IF(VLOOKUP(A85,NRW!$A:$G,7,0)="","",VLOOKUP(A85,NRW!$A:$G,7,0)),"")</f>
        <v/>
      </c>
      <c r="AG85" s="37" t="str">
        <f>IFERROR(IF(OR(VLOOKUP(A85,NRW!$A:$H,8,0)="",VLOOKUP(A85,NRW!$A:$H,8,0)=0),"",VLOOKUP(A85,NRW!$A:$H,8,0)),"")</f>
        <v/>
      </c>
      <c r="AH85" s="87" t="str">
        <f>IFERROR(IF(VLOOKUP(A85,'O&amp;M score'!$A:$D,4,0)="","",VLOOKUP(A85,'O&amp;M score'!$A:$D,4,0)),"")</f>
        <v/>
      </c>
      <c r="AI85" s="87" t="str">
        <f>IFERROR(IF(VLOOKUP(A85,'O&amp;M score'!$A:$E,5,0)="","",VLOOKUP(A85,'O&amp;M score'!$A:$E,5,0)),"")</f>
        <v/>
      </c>
      <c r="AJ85" s="87" t="str">
        <f>IFERROR(IF(VLOOKUP(A85,'O&amp;M score'!$A:$F,6,0)="","",VLOOKUP(A85,'O&amp;M score'!$A:$F,6,0)),"")</f>
        <v/>
      </c>
      <c r="AK85" s="87" t="str">
        <f>IFERROR(IF(VLOOKUP(A85,'O&amp;M score'!$A:$G,7,0)="","",VLOOKUP(A85,'O&amp;M score'!$A:$G,7,0)),"")</f>
        <v/>
      </c>
      <c r="AL85" s="87" t="str">
        <f>IFERROR(IF(VLOOKUP(A85,'Metering Ratio Score'!$A:$C,3,0)="","",VLOOKUP(A85,'Metering Ratio Score'!$A:$C,3,0)),"")</f>
        <v/>
      </c>
      <c r="AM85" s="87" t="str">
        <f>IFERROR(IF(VLOOKUP(A85,'Metering Ratio Score'!$A:$D,4,0)="","",VLOOKUP(A85,'Metering Ratio Score'!$A:$D,4,0)),"")</f>
        <v/>
      </c>
      <c r="AN85" s="87" t="str">
        <f>IFERROR(IF(VLOOKUP(A85,'Metering Ratio Score'!$A:$E,5,0)="","",VLOOKUP(A85,'Metering Ratio Score'!$A:$E,5,0)),"")</f>
        <v/>
      </c>
      <c r="AO85" s="87" t="str">
        <f>IFERROR(IF(VLOOKUP(A85,'Metering Ratio Score'!$A:$F,6,0)="","",VLOOKUP(A85,'Metering Ratio Score'!$A:$F,6,0)),"")</f>
        <v/>
      </c>
      <c r="AP85" s="87" t="str">
        <f>IFERROR(IF(VLOOKUP(A85,'Grievance Addressal'!$A:$C,3,0)="","",VLOOKUP(A85,'Grievance Addressal'!$A:$C,3,0)),"")</f>
        <v/>
      </c>
      <c r="AQ85" s="87" t="str">
        <f>IFERROR(IF(VLOOKUP(A85,'Grievance Addressal'!$A:$D,4,0)="","",VLOOKUP(A85,'Grievance Addressal'!$A:$D,4,0)),"")</f>
        <v/>
      </c>
      <c r="AR85" s="87" t="str">
        <f>IFERROR(IF(VLOOKUP(A85,'Grievance Addressal'!$A:$E,5,0)="","",VLOOKUP(A85,'Grievance Addressal'!$A:$E,5,0)),"")</f>
        <v/>
      </c>
      <c r="AS85" s="87" t="str">
        <f>IFERROR(IF(VLOOKUP(A85,Summary_Index!$A$5:$N$281,7,0)="","",VLOOKUP(A85,Summary_Index!$A$5:$N$281,7,0)),"")</f>
        <v/>
      </c>
      <c r="AT85" s="87" t="str">
        <f>IFERROR(IF(VLOOKUP(A85,Summary_Index!$A$5:$N$281,12,0)="","",VLOOKUP(A85,Summary_Index!$A$5:$N$281,12,0)),"")</f>
        <v/>
      </c>
      <c r="AU85" s="87" t="str">
        <f>IFERROR(IF(VLOOKUP(A85,Summary_Index!$A$5:$N$281,13,0)="","",VLOOKUP(A85,Summary_Index!$A$5:$N$281,13,0)),"")</f>
        <v/>
      </c>
      <c r="AV85" s="87" t="str">
        <f>IFERROR(IF(VLOOKUP(A85,Summary_Index!$A$5:$N$281,14,0)="","",VLOOKUP(A85,Summary_Index!$A$5:$N$281,14,0)),"")</f>
        <v/>
      </c>
    </row>
    <row r="86" spans="1:48" ht="45.6" customHeight="1" x14ac:dyDescent="0.3">
      <c r="A86" s="87">
        <f>Spatial!A86</f>
        <v>0</v>
      </c>
      <c r="B86" s="87">
        <f>Spatial!B86</f>
        <v>0</v>
      </c>
      <c r="C86" s="87">
        <f>Spatial!C86</f>
        <v>0</v>
      </c>
      <c r="D86" s="87">
        <f>Spatial!D86</f>
        <v>0</v>
      </c>
      <c r="E86" s="87">
        <f>Spatial!E86</f>
        <v>0</v>
      </c>
      <c r="F86" s="87">
        <f>Spatial!F86</f>
        <v>0</v>
      </c>
      <c r="G86" s="87">
        <f>IFERROR(Spatial!G86,"")</f>
        <v>0</v>
      </c>
      <c r="H86" s="37"/>
      <c r="I86" s="37"/>
      <c r="J86" s="87" t="str">
        <f t="shared" si="3"/>
        <v>0_0</v>
      </c>
      <c r="K86" s="87" t="str">
        <f>IFERROR(IF(VLOOKUP(A86,'Service Coverage'!$A:$C,3,0)="","",VLOOKUP(A86,'Service Coverage'!$A:$C,3,0)),"")</f>
        <v/>
      </c>
      <c r="L86" s="87" t="str">
        <f>IFERROR(IF(VLOOKUP(A86,'Service Coverage'!$A:$D,4,0)="","",VLOOKUP(A86,'Service Coverage'!$A:$D,4,0)),"")</f>
        <v/>
      </c>
      <c r="M86" s="87" t="str">
        <f>IFERROR(IF(VLOOKUP(A86,'Service Coverage'!$A:$E,5,0)="","",VLOOKUP(A86,'Service Coverage'!$A:$E,5,0)),"")</f>
        <v/>
      </c>
      <c r="N86" s="87" t="str">
        <f>IFERROR(IF(VLOOKUP(A86,'Service Coverage'!$A:$F,6,0)="","",VLOOKUP(A86,'Service Coverage'!$A:$F,6,0)),"")</f>
        <v/>
      </c>
      <c r="O86" s="87" t="str">
        <f>IFERROR(IF(VLOOKUP(A86,'Service Coverage'!$A:$G,7,0)="","",VLOOKUP(A86,'Service Coverage'!$A:$G,7,0)),"")</f>
        <v/>
      </c>
      <c r="P86" s="87" t="str">
        <f>IFERROR(IF(VLOOKUP(A86,Adequacy!$A:$C,3,0)="","",VLOOKUP(A86,Adequacy!$A:$C,3,0)),"")</f>
        <v/>
      </c>
      <c r="Q86" s="87" t="str">
        <f>IFERROR(IF(VLOOKUP(A86,Adequacy!$A:$D,4,0)="","",VLOOKUP(A86,Adequacy!$A:$D,4,0)),"")</f>
        <v/>
      </c>
      <c r="R86" s="37" t="str">
        <f>IFERROR(IF(VLOOKUP(A86,Adequacy!$A:$E,5,0)="","",VLOOKUP(A86,Adequacy!$A:$E,5,0)),"")</f>
        <v/>
      </c>
      <c r="S86" s="87" t="str">
        <f>IFERROR(IF(VLOOKUP(A86,Adequacy!$A:$G,7,0)="","",VLOOKUP(A86,Adequacy!$A:$G,7,0)),"")</f>
        <v/>
      </c>
      <c r="T86" s="37" t="str">
        <f>IFERROR(IF(VLOOKUP(A86,Adequacy!$A:$H,8,0)="","",VLOOKUP(A86,Adequacy!$A:$H,8,0)),"")</f>
        <v/>
      </c>
      <c r="U86" s="37" t="str">
        <f>IFERROR(IF(VLOOKUP(A86,Adequacy!$A:$J,10,0)="","",VLOOKUP(A86,Adequacy!$A:$J,10,0)),"")</f>
        <v/>
      </c>
      <c r="V86" s="37" t="str">
        <f>IFERROR(IF(VLOOKUP(A86,'Water Quality Score'!$A:$C,3,0)="","",VLOOKUP(A86,'Water Quality Score'!$A:$C,3,0)),"")</f>
        <v/>
      </c>
      <c r="W86" s="87" t="str">
        <f>IFERROR(IF(VLOOKUP(A86,'Water Quality Score'!$A:$D,4,0)="","",VLOOKUP(A86,'Water Quality Score'!$A:$D,4,0)),"")</f>
        <v/>
      </c>
      <c r="X86" s="37" t="str">
        <f>IFERROR(IF(VLOOKUP(A86,'Water Quality Score'!$A:$E,5,0)="","",VLOOKUP(A86,'Water Quality Score'!$A:$E,5,0)),"")</f>
        <v/>
      </c>
      <c r="Y86" s="37" t="str">
        <f>IFERROR(IF(VLOOKUP(A86,'Water Quality Score'!$A:$F,6,0)="","",VLOOKUP(A86,'Water Quality Score'!$A:$F,6,0)),"")</f>
        <v/>
      </c>
      <c r="Z86" s="37" t="str">
        <f>IFERROR(IF(VLOOKUP(A86,'Reliability score'!$A:$C,3,0)="","",VLOOKUP(A86,'Reliability score'!$A:$C,3,0)),"")</f>
        <v/>
      </c>
      <c r="AA86" s="37" t="str">
        <f>IFERROR(IF(VLOOKUP(A86,'Reliability score'!$A:$D,4,0)="","",VLOOKUP(A86,'Reliability score'!$A:$D,4,0)),"")</f>
        <v/>
      </c>
      <c r="AB86" s="37" t="str">
        <f>IFERROR(IF(VLOOKUP(A86,NRW!$A:$C,3,0)="","",VLOOKUP(A86,NRW!$A:$C,3,0)),"")</f>
        <v/>
      </c>
      <c r="AC86" s="37" t="str">
        <f>IFERROR(IF(VLOOKUP(A86,NRW!$A:$D,4,0)="","",VLOOKUP(A86,NRW!$A:$D,4,0)),"")</f>
        <v/>
      </c>
      <c r="AD86" s="37" t="str">
        <f>IFERROR(IF(VLOOKUP(A86,NRW!$A:$E,5,0)="","",VLOOKUP(A86,NRW!$A:$E,5,0)),"")</f>
        <v/>
      </c>
      <c r="AE86" s="37" t="str">
        <f>IFERROR(IF(VLOOKUP(A86,NRW!$A:$F,6,0)="","",VLOOKUP(A86,NRW!$A:$F,6,0)),"")</f>
        <v/>
      </c>
      <c r="AF86" s="37" t="str">
        <f>IFERROR(IF(VLOOKUP(A86,NRW!$A:$G,7,0)="","",VLOOKUP(A86,NRW!$A:$G,7,0)),"")</f>
        <v/>
      </c>
      <c r="AG86" s="37" t="str">
        <f>IFERROR(IF(OR(VLOOKUP(A86,NRW!$A:$H,8,0)="",VLOOKUP(A86,NRW!$A:$H,8,0)=0),"",VLOOKUP(A86,NRW!$A:$H,8,0)),"")</f>
        <v/>
      </c>
      <c r="AH86" s="87" t="str">
        <f>IFERROR(IF(VLOOKUP(A86,'O&amp;M score'!$A:$D,4,0)="","",VLOOKUP(A86,'O&amp;M score'!$A:$D,4,0)),"")</f>
        <v/>
      </c>
      <c r="AI86" s="87" t="str">
        <f>IFERROR(IF(VLOOKUP(A86,'O&amp;M score'!$A:$E,5,0)="","",VLOOKUP(A86,'O&amp;M score'!$A:$E,5,0)),"")</f>
        <v/>
      </c>
      <c r="AJ86" s="87" t="str">
        <f>IFERROR(IF(VLOOKUP(A86,'O&amp;M score'!$A:$F,6,0)="","",VLOOKUP(A86,'O&amp;M score'!$A:$F,6,0)),"")</f>
        <v/>
      </c>
      <c r="AK86" s="87" t="str">
        <f>IFERROR(IF(VLOOKUP(A86,'O&amp;M score'!$A:$G,7,0)="","",VLOOKUP(A86,'O&amp;M score'!$A:$G,7,0)),"")</f>
        <v/>
      </c>
      <c r="AL86" s="87" t="str">
        <f>IFERROR(IF(VLOOKUP(A86,'Metering Ratio Score'!$A:$C,3,0)="","",VLOOKUP(A86,'Metering Ratio Score'!$A:$C,3,0)),"")</f>
        <v/>
      </c>
      <c r="AM86" s="87" t="str">
        <f>IFERROR(IF(VLOOKUP(A86,'Metering Ratio Score'!$A:$D,4,0)="","",VLOOKUP(A86,'Metering Ratio Score'!$A:$D,4,0)),"")</f>
        <v/>
      </c>
      <c r="AN86" s="87" t="str">
        <f>IFERROR(IF(VLOOKUP(A86,'Metering Ratio Score'!$A:$E,5,0)="","",VLOOKUP(A86,'Metering Ratio Score'!$A:$E,5,0)),"")</f>
        <v/>
      </c>
      <c r="AO86" s="87" t="str">
        <f>IFERROR(IF(VLOOKUP(A86,'Metering Ratio Score'!$A:$F,6,0)="","",VLOOKUP(A86,'Metering Ratio Score'!$A:$F,6,0)),"")</f>
        <v/>
      </c>
      <c r="AP86" s="87" t="str">
        <f>IFERROR(IF(VLOOKUP(A86,'Grievance Addressal'!$A:$C,3,0)="","",VLOOKUP(A86,'Grievance Addressal'!$A:$C,3,0)),"")</f>
        <v/>
      </c>
      <c r="AQ86" s="87" t="str">
        <f>IFERROR(IF(VLOOKUP(A86,'Grievance Addressal'!$A:$D,4,0)="","",VLOOKUP(A86,'Grievance Addressal'!$A:$D,4,0)),"")</f>
        <v/>
      </c>
      <c r="AR86" s="87" t="str">
        <f>IFERROR(IF(VLOOKUP(A86,'Grievance Addressal'!$A:$E,5,0)="","",VLOOKUP(A86,'Grievance Addressal'!$A:$E,5,0)),"")</f>
        <v/>
      </c>
      <c r="AS86" s="87" t="str">
        <f>IFERROR(IF(VLOOKUP(A86,Summary_Index!$A$5:$N$281,7,0)="","",VLOOKUP(A86,Summary_Index!$A$5:$N$281,7,0)),"")</f>
        <v/>
      </c>
      <c r="AT86" s="87" t="str">
        <f>IFERROR(IF(VLOOKUP(A86,Summary_Index!$A$5:$N$281,12,0)="","",VLOOKUP(A86,Summary_Index!$A$5:$N$281,12,0)),"")</f>
        <v/>
      </c>
      <c r="AU86" s="87" t="str">
        <f>IFERROR(IF(VLOOKUP(A86,Summary_Index!$A$5:$N$281,13,0)="","",VLOOKUP(A86,Summary_Index!$A$5:$N$281,13,0)),"")</f>
        <v/>
      </c>
      <c r="AV86" s="87" t="str">
        <f>IFERROR(IF(VLOOKUP(A86,Summary_Index!$A$5:$N$281,14,0)="","",VLOOKUP(A86,Summary_Index!$A$5:$N$281,14,0)),"")</f>
        <v/>
      </c>
    </row>
    <row r="87" spans="1:48" ht="45.6" customHeight="1" x14ac:dyDescent="0.3">
      <c r="A87" s="87">
        <f>Spatial!A87</f>
        <v>0</v>
      </c>
      <c r="B87" s="87">
        <f>Spatial!B87</f>
        <v>0</v>
      </c>
      <c r="C87" s="87">
        <f>Spatial!C87</f>
        <v>0</v>
      </c>
      <c r="D87" s="87">
        <f>Spatial!D87</f>
        <v>0</v>
      </c>
      <c r="E87" s="87">
        <f>Spatial!E87</f>
        <v>0</v>
      </c>
      <c r="F87" s="87">
        <f>Spatial!F87</f>
        <v>0</v>
      </c>
      <c r="G87" s="87">
        <f>IFERROR(Spatial!G87,"")</f>
        <v>0</v>
      </c>
      <c r="H87" s="37"/>
      <c r="I87" s="37"/>
      <c r="J87" s="87" t="str">
        <f t="shared" si="3"/>
        <v>0_0</v>
      </c>
      <c r="K87" s="87" t="str">
        <f>IFERROR(IF(VLOOKUP(A87,'Service Coverage'!$A:$C,3,0)="","",VLOOKUP(A87,'Service Coverage'!$A:$C,3,0)),"")</f>
        <v/>
      </c>
      <c r="L87" s="87" t="str">
        <f>IFERROR(IF(VLOOKUP(A87,'Service Coverage'!$A:$D,4,0)="","",VLOOKUP(A87,'Service Coverage'!$A:$D,4,0)),"")</f>
        <v/>
      </c>
      <c r="M87" s="87" t="str">
        <f>IFERROR(IF(VLOOKUP(A87,'Service Coverage'!$A:$E,5,0)="","",VLOOKUP(A87,'Service Coverage'!$A:$E,5,0)),"")</f>
        <v/>
      </c>
      <c r="N87" s="87" t="str">
        <f>IFERROR(IF(VLOOKUP(A87,'Service Coverage'!$A:$F,6,0)="","",VLOOKUP(A87,'Service Coverage'!$A:$F,6,0)),"")</f>
        <v/>
      </c>
      <c r="O87" s="87" t="str">
        <f>IFERROR(IF(VLOOKUP(A87,'Service Coverage'!$A:$G,7,0)="","",VLOOKUP(A87,'Service Coverage'!$A:$G,7,0)),"")</f>
        <v/>
      </c>
      <c r="P87" s="87" t="str">
        <f>IFERROR(IF(VLOOKUP(A87,Adequacy!$A:$C,3,0)="","",VLOOKUP(A87,Adequacy!$A:$C,3,0)),"")</f>
        <v/>
      </c>
      <c r="Q87" s="87" t="str">
        <f>IFERROR(IF(VLOOKUP(A87,Adequacy!$A:$D,4,0)="","",VLOOKUP(A87,Adequacy!$A:$D,4,0)),"")</f>
        <v/>
      </c>
      <c r="R87" s="37" t="str">
        <f>IFERROR(IF(VLOOKUP(A87,Adequacy!$A:$E,5,0)="","",VLOOKUP(A87,Adequacy!$A:$E,5,0)),"")</f>
        <v/>
      </c>
      <c r="S87" s="87" t="str">
        <f>IFERROR(IF(VLOOKUP(A87,Adequacy!$A:$G,7,0)="","",VLOOKUP(A87,Adequacy!$A:$G,7,0)),"")</f>
        <v/>
      </c>
      <c r="T87" s="37" t="str">
        <f>IFERROR(IF(VLOOKUP(A87,Adequacy!$A:$H,8,0)="","",VLOOKUP(A87,Adequacy!$A:$H,8,0)),"")</f>
        <v/>
      </c>
      <c r="U87" s="37" t="str">
        <f>IFERROR(IF(VLOOKUP(A87,Adequacy!$A:$J,10,0)="","",VLOOKUP(A87,Adequacy!$A:$J,10,0)),"")</f>
        <v/>
      </c>
      <c r="V87" s="37" t="str">
        <f>IFERROR(IF(VLOOKUP(A87,'Water Quality Score'!$A:$C,3,0)="","",VLOOKUP(A87,'Water Quality Score'!$A:$C,3,0)),"")</f>
        <v/>
      </c>
      <c r="W87" s="87" t="str">
        <f>IFERROR(IF(VLOOKUP(A87,'Water Quality Score'!$A:$D,4,0)="","",VLOOKUP(A87,'Water Quality Score'!$A:$D,4,0)),"")</f>
        <v/>
      </c>
      <c r="X87" s="37" t="str">
        <f>IFERROR(IF(VLOOKUP(A87,'Water Quality Score'!$A:$E,5,0)="","",VLOOKUP(A87,'Water Quality Score'!$A:$E,5,0)),"")</f>
        <v/>
      </c>
      <c r="Y87" s="37" t="str">
        <f>IFERROR(IF(VLOOKUP(A87,'Water Quality Score'!$A:$F,6,0)="","",VLOOKUP(A87,'Water Quality Score'!$A:$F,6,0)),"")</f>
        <v/>
      </c>
      <c r="Z87" s="37" t="str">
        <f>IFERROR(IF(VLOOKUP(A87,'Reliability score'!$A:$C,3,0)="","",VLOOKUP(A87,'Reliability score'!$A:$C,3,0)),"")</f>
        <v/>
      </c>
      <c r="AA87" s="37" t="str">
        <f>IFERROR(IF(VLOOKUP(A87,'Reliability score'!$A:$D,4,0)="","",VLOOKUP(A87,'Reliability score'!$A:$D,4,0)),"")</f>
        <v/>
      </c>
      <c r="AB87" s="37" t="str">
        <f>IFERROR(IF(VLOOKUP(A87,NRW!$A:$C,3,0)="","",VLOOKUP(A87,NRW!$A:$C,3,0)),"")</f>
        <v/>
      </c>
      <c r="AC87" s="37" t="str">
        <f>IFERROR(IF(VLOOKUP(A87,NRW!$A:$D,4,0)="","",VLOOKUP(A87,NRW!$A:$D,4,0)),"")</f>
        <v/>
      </c>
      <c r="AD87" s="37" t="str">
        <f>IFERROR(IF(VLOOKUP(A87,NRW!$A:$E,5,0)="","",VLOOKUP(A87,NRW!$A:$E,5,0)),"")</f>
        <v/>
      </c>
      <c r="AE87" s="37" t="str">
        <f>IFERROR(IF(VLOOKUP(A87,NRW!$A:$F,6,0)="","",VLOOKUP(A87,NRW!$A:$F,6,0)),"")</f>
        <v/>
      </c>
      <c r="AF87" s="37" t="str">
        <f>IFERROR(IF(VLOOKUP(A87,NRW!$A:$G,7,0)="","",VLOOKUP(A87,NRW!$A:$G,7,0)),"")</f>
        <v/>
      </c>
      <c r="AG87" s="37" t="str">
        <f>IFERROR(IF(OR(VLOOKUP(A87,NRW!$A:$H,8,0)="",VLOOKUP(A87,NRW!$A:$H,8,0)=0),"",VLOOKUP(A87,NRW!$A:$H,8,0)),"")</f>
        <v/>
      </c>
      <c r="AH87" s="87" t="str">
        <f>IFERROR(IF(VLOOKUP(A87,'O&amp;M score'!$A:$D,4,0)="","",VLOOKUP(A87,'O&amp;M score'!$A:$D,4,0)),"")</f>
        <v/>
      </c>
      <c r="AI87" s="87" t="str">
        <f>IFERROR(IF(VLOOKUP(A87,'O&amp;M score'!$A:$E,5,0)="","",VLOOKUP(A87,'O&amp;M score'!$A:$E,5,0)),"")</f>
        <v/>
      </c>
      <c r="AJ87" s="87" t="str">
        <f>IFERROR(IF(VLOOKUP(A87,'O&amp;M score'!$A:$F,6,0)="","",VLOOKUP(A87,'O&amp;M score'!$A:$F,6,0)),"")</f>
        <v/>
      </c>
      <c r="AK87" s="87" t="str">
        <f>IFERROR(IF(VLOOKUP(A87,'O&amp;M score'!$A:$G,7,0)="","",VLOOKUP(A87,'O&amp;M score'!$A:$G,7,0)),"")</f>
        <v/>
      </c>
      <c r="AL87" s="87" t="str">
        <f>IFERROR(IF(VLOOKUP(A87,'Metering Ratio Score'!$A:$C,3,0)="","",VLOOKUP(A87,'Metering Ratio Score'!$A:$C,3,0)),"")</f>
        <v/>
      </c>
      <c r="AM87" s="87" t="str">
        <f>IFERROR(IF(VLOOKUP(A87,'Metering Ratio Score'!$A:$D,4,0)="","",VLOOKUP(A87,'Metering Ratio Score'!$A:$D,4,0)),"")</f>
        <v/>
      </c>
      <c r="AN87" s="87" t="str">
        <f>IFERROR(IF(VLOOKUP(A87,'Metering Ratio Score'!$A:$E,5,0)="","",VLOOKUP(A87,'Metering Ratio Score'!$A:$E,5,0)),"")</f>
        <v/>
      </c>
      <c r="AO87" s="87" t="str">
        <f>IFERROR(IF(VLOOKUP(A87,'Metering Ratio Score'!$A:$F,6,0)="","",VLOOKUP(A87,'Metering Ratio Score'!$A:$F,6,0)),"")</f>
        <v/>
      </c>
      <c r="AP87" s="87" t="str">
        <f>IFERROR(IF(VLOOKUP(A87,'Grievance Addressal'!$A:$C,3,0)="","",VLOOKUP(A87,'Grievance Addressal'!$A:$C,3,0)),"")</f>
        <v/>
      </c>
      <c r="AQ87" s="87" t="str">
        <f>IFERROR(IF(VLOOKUP(A87,'Grievance Addressal'!$A:$D,4,0)="","",VLOOKUP(A87,'Grievance Addressal'!$A:$D,4,0)),"")</f>
        <v/>
      </c>
      <c r="AR87" s="87" t="str">
        <f>IFERROR(IF(VLOOKUP(A87,'Grievance Addressal'!$A:$E,5,0)="","",VLOOKUP(A87,'Grievance Addressal'!$A:$E,5,0)),"")</f>
        <v/>
      </c>
      <c r="AS87" s="87" t="str">
        <f>IFERROR(IF(VLOOKUP(A87,Summary_Index!$A$5:$N$281,7,0)="","",VLOOKUP(A87,Summary_Index!$A$5:$N$281,7,0)),"")</f>
        <v/>
      </c>
      <c r="AT87" s="87" t="str">
        <f>IFERROR(IF(VLOOKUP(A87,Summary_Index!$A$5:$N$281,12,0)="","",VLOOKUP(A87,Summary_Index!$A$5:$N$281,12,0)),"")</f>
        <v/>
      </c>
      <c r="AU87" s="87" t="str">
        <f>IFERROR(IF(VLOOKUP(A87,Summary_Index!$A$5:$N$281,13,0)="","",VLOOKUP(A87,Summary_Index!$A$5:$N$281,13,0)),"")</f>
        <v/>
      </c>
      <c r="AV87" s="87" t="str">
        <f>IFERROR(IF(VLOOKUP(A87,Summary_Index!$A$5:$N$281,14,0)="","",VLOOKUP(A87,Summary_Index!$A$5:$N$281,14,0)),"")</f>
        <v/>
      </c>
    </row>
    <row r="88" spans="1:48" ht="45.6" customHeight="1" x14ac:dyDescent="0.3">
      <c r="A88" s="87">
        <f>Spatial!A88</f>
        <v>0</v>
      </c>
      <c r="B88" s="87">
        <f>Spatial!B88</f>
        <v>0</v>
      </c>
      <c r="C88" s="87">
        <f>Spatial!C88</f>
        <v>0</v>
      </c>
      <c r="D88" s="87">
        <f>Spatial!D88</f>
        <v>0</v>
      </c>
      <c r="E88" s="87">
        <f>Spatial!E88</f>
        <v>0</v>
      </c>
      <c r="F88" s="87">
        <f>Spatial!F88</f>
        <v>0</v>
      </c>
      <c r="G88" s="87">
        <f>IFERROR(Spatial!G88,"")</f>
        <v>0</v>
      </c>
      <c r="H88" s="37"/>
      <c r="I88" s="37"/>
      <c r="J88" s="87" t="str">
        <f t="shared" si="3"/>
        <v>0_0</v>
      </c>
      <c r="K88" s="87" t="str">
        <f>IFERROR(IF(VLOOKUP(A88,'Service Coverage'!$A:$C,3,0)="","",VLOOKUP(A88,'Service Coverage'!$A:$C,3,0)),"")</f>
        <v/>
      </c>
      <c r="L88" s="87" t="str">
        <f>IFERROR(IF(VLOOKUP(A88,'Service Coverage'!$A:$D,4,0)="","",VLOOKUP(A88,'Service Coverage'!$A:$D,4,0)),"")</f>
        <v/>
      </c>
      <c r="M88" s="87" t="str">
        <f>IFERROR(IF(VLOOKUP(A88,'Service Coverage'!$A:$E,5,0)="","",VLOOKUP(A88,'Service Coverage'!$A:$E,5,0)),"")</f>
        <v/>
      </c>
      <c r="N88" s="87" t="str">
        <f>IFERROR(IF(VLOOKUP(A88,'Service Coverage'!$A:$F,6,0)="","",VLOOKUP(A88,'Service Coverage'!$A:$F,6,0)),"")</f>
        <v/>
      </c>
      <c r="O88" s="87" t="str">
        <f>IFERROR(IF(VLOOKUP(A88,'Service Coverage'!$A:$G,7,0)="","",VLOOKUP(A88,'Service Coverage'!$A:$G,7,0)),"")</f>
        <v/>
      </c>
      <c r="P88" s="87" t="str">
        <f>IFERROR(IF(VLOOKUP(A88,Adequacy!$A:$C,3,0)="","",VLOOKUP(A88,Adequacy!$A:$C,3,0)),"")</f>
        <v/>
      </c>
      <c r="Q88" s="87" t="str">
        <f>IFERROR(IF(VLOOKUP(A88,Adequacy!$A:$D,4,0)="","",VLOOKUP(A88,Adequacy!$A:$D,4,0)),"")</f>
        <v/>
      </c>
      <c r="R88" s="37" t="str">
        <f>IFERROR(IF(VLOOKUP(A88,Adequacy!$A:$E,5,0)="","",VLOOKUP(A88,Adequacy!$A:$E,5,0)),"")</f>
        <v/>
      </c>
      <c r="S88" s="87" t="str">
        <f>IFERROR(IF(VLOOKUP(A88,Adequacy!$A:$G,7,0)="","",VLOOKUP(A88,Adequacy!$A:$G,7,0)),"")</f>
        <v/>
      </c>
      <c r="T88" s="37" t="str">
        <f>IFERROR(IF(VLOOKUP(A88,Adequacy!$A:$H,8,0)="","",VLOOKUP(A88,Adequacy!$A:$H,8,0)),"")</f>
        <v/>
      </c>
      <c r="U88" s="37" t="str">
        <f>IFERROR(IF(VLOOKUP(A88,Adequacy!$A:$J,10,0)="","",VLOOKUP(A88,Adequacy!$A:$J,10,0)),"")</f>
        <v/>
      </c>
      <c r="V88" s="37" t="str">
        <f>IFERROR(IF(VLOOKUP(A88,'Water Quality Score'!$A:$C,3,0)="","",VLOOKUP(A88,'Water Quality Score'!$A:$C,3,0)),"")</f>
        <v/>
      </c>
      <c r="W88" s="87" t="str">
        <f>IFERROR(IF(VLOOKUP(A88,'Water Quality Score'!$A:$D,4,0)="","",VLOOKUP(A88,'Water Quality Score'!$A:$D,4,0)),"")</f>
        <v/>
      </c>
      <c r="X88" s="37" t="str">
        <f>IFERROR(IF(VLOOKUP(A88,'Water Quality Score'!$A:$E,5,0)="","",VLOOKUP(A88,'Water Quality Score'!$A:$E,5,0)),"")</f>
        <v/>
      </c>
      <c r="Y88" s="37" t="str">
        <f>IFERROR(IF(VLOOKUP(A88,'Water Quality Score'!$A:$F,6,0)="","",VLOOKUP(A88,'Water Quality Score'!$A:$F,6,0)),"")</f>
        <v/>
      </c>
      <c r="Z88" s="37" t="str">
        <f>IFERROR(IF(VLOOKUP(A88,'Reliability score'!$A:$C,3,0)="","",VLOOKUP(A88,'Reliability score'!$A:$C,3,0)),"")</f>
        <v/>
      </c>
      <c r="AA88" s="37" t="str">
        <f>IFERROR(IF(VLOOKUP(A88,'Reliability score'!$A:$D,4,0)="","",VLOOKUP(A88,'Reliability score'!$A:$D,4,0)),"")</f>
        <v/>
      </c>
      <c r="AB88" s="37" t="str">
        <f>IFERROR(IF(VLOOKUP(A88,NRW!$A:$C,3,0)="","",VLOOKUP(A88,NRW!$A:$C,3,0)),"")</f>
        <v/>
      </c>
      <c r="AC88" s="37" t="str">
        <f>IFERROR(IF(VLOOKUP(A88,NRW!$A:$D,4,0)="","",VLOOKUP(A88,NRW!$A:$D,4,0)),"")</f>
        <v/>
      </c>
      <c r="AD88" s="37" t="str">
        <f>IFERROR(IF(VLOOKUP(A88,NRW!$A:$E,5,0)="","",VLOOKUP(A88,NRW!$A:$E,5,0)),"")</f>
        <v/>
      </c>
      <c r="AE88" s="37" t="str">
        <f>IFERROR(IF(VLOOKUP(A88,NRW!$A:$F,6,0)="","",VLOOKUP(A88,NRW!$A:$F,6,0)),"")</f>
        <v/>
      </c>
      <c r="AF88" s="37" t="str">
        <f>IFERROR(IF(VLOOKUP(A88,NRW!$A:$G,7,0)="","",VLOOKUP(A88,NRW!$A:$G,7,0)),"")</f>
        <v/>
      </c>
      <c r="AG88" s="37" t="str">
        <f>IFERROR(IF(OR(VLOOKUP(A88,NRW!$A:$H,8,0)="",VLOOKUP(A88,NRW!$A:$H,8,0)=0),"",VLOOKUP(A88,NRW!$A:$H,8,0)),"")</f>
        <v/>
      </c>
      <c r="AH88" s="87" t="str">
        <f>IFERROR(IF(VLOOKUP(A88,'O&amp;M score'!$A:$D,4,0)="","",VLOOKUP(A88,'O&amp;M score'!$A:$D,4,0)),"")</f>
        <v/>
      </c>
      <c r="AI88" s="87" t="str">
        <f>IFERROR(IF(VLOOKUP(A88,'O&amp;M score'!$A:$E,5,0)="","",VLOOKUP(A88,'O&amp;M score'!$A:$E,5,0)),"")</f>
        <v/>
      </c>
      <c r="AJ88" s="87" t="str">
        <f>IFERROR(IF(VLOOKUP(A88,'O&amp;M score'!$A:$F,6,0)="","",VLOOKUP(A88,'O&amp;M score'!$A:$F,6,0)),"")</f>
        <v/>
      </c>
      <c r="AK88" s="87" t="str">
        <f>IFERROR(IF(VLOOKUP(A88,'O&amp;M score'!$A:$G,7,0)="","",VLOOKUP(A88,'O&amp;M score'!$A:$G,7,0)),"")</f>
        <v/>
      </c>
      <c r="AL88" s="87" t="str">
        <f>IFERROR(IF(VLOOKUP(A88,'Metering Ratio Score'!$A:$C,3,0)="","",VLOOKUP(A88,'Metering Ratio Score'!$A:$C,3,0)),"")</f>
        <v/>
      </c>
      <c r="AM88" s="87" t="str">
        <f>IFERROR(IF(VLOOKUP(A88,'Metering Ratio Score'!$A:$D,4,0)="","",VLOOKUP(A88,'Metering Ratio Score'!$A:$D,4,0)),"")</f>
        <v/>
      </c>
      <c r="AN88" s="87" t="str">
        <f>IFERROR(IF(VLOOKUP(A88,'Metering Ratio Score'!$A:$E,5,0)="","",VLOOKUP(A88,'Metering Ratio Score'!$A:$E,5,0)),"")</f>
        <v/>
      </c>
      <c r="AO88" s="87" t="str">
        <f>IFERROR(IF(VLOOKUP(A88,'Metering Ratio Score'!$A:$F,6,0)="","",VLOOKUP(A88,'Metering Ratio Score'!$A:$F,6,0)),"")</f>
        <v/>
      </c>
      <c r="AP88" s="87" t="str">
        <f>IFERROR(IF(VLOOKUP(A88,'Grievance Addressal'!$A:$C,3,0)="","",VLOOKUP(A88,'Grievance Addressal'!$A:$C,3,0)),"")</f>
        <v/>
      </c>
      <c r="AQ88" s="87" t="str">
        <f>IFERROR(IF(VLOOKUP(A88,'Grievance Addressal'!$A:$D,4,0)="","",VLOOKUP(A88,'Grievance Addressal'!$A:$D,4,0)),"")</f>
        <v/>
      </c>
      <c r="AR88" s="87" t="str">
        <f>IFERROR(IF(VLOOKUP(A88,'Grievance Addressal'!$A:$E,5,0)="","",VLOOKUP(A88,'Grievance Addressal'!$A:$E,5,0)),"")</f>
        <v/>
      </c>
      <c r="AS88" s="87" t="str">
        <f>IFERROR(IF(VLOOKUP(A88,Summary_Index!$A$5:$N$281,7,0)="","",VLOOKUP(A88,Summary_Index!$A$5:$N$281,7,0)),"")</f>
        <v/>
      </c>
      <c r="AT88" s="87" t="str">
        <f>IFERROR(IF(VLOOKUP(A88,Summary_Index!$A$5:$N$281,12,0)="","",VLOOKUP(A88,Summary_Index!$A$5:$N$281,12,0)),"")</f>
        <v/>
      </c>
      <c r="AU88" s="87" t="str">
        <f>IFERROR(IF(VLOOKUP(A88,Summary_Index!$A$5:$N$281,13,0)="","",VLOOKUP(A88,Summary_Index!$A$5:$N$281,13,0)),"")</f>
        <v/>
      </c>
      <c r="AV88" s="87" t="str">
        <f>IFERROR(IF(VLOOKUP(A88,Summary_Index!$A$5:$N$281,14,0)="","",VLOOKUP(A88,Summary_Index!$A$5:$N$281,14,0)),"")</f>
        <v/>
      </c>
    </row>
    <row r="89" spans="1:48" ht="45.6" customHeight="1" x14ac:dyDescent="0.3">
      <c r="A89" s="87">
        <f>Spatial!A89</f>
        <v>0</v>
      </c>
      <c r="B89" s="87">
        <f>Spatial!B89</f>
        <v>0</v>
      </c>
      <c r="C89" s="87">
        <f>Spatial!C89</f>
        <v>0</v>
      </c>
      <c r="D89" s="87">
        <f>Spatial!D89</f>
        <v>0</v>
      </c>
      <c r="E89" s="87">
        <f>Spatial!E89</f>
        <v>0</v>
      </c>
      <c r="F89" s="87">
        <f>Spatial!F89</f>
        <v>0</v>
      </c>
      <c r="G89" s="87">
        <f>IFERROR(Spatial!G89,"")</f>
        <v>0</v>
      </c>
      <c r="H89" s="37"/>
      <c r="I89" s="37"/>
      <c r="J89" s="87" t="str">
        <f t="shared" si="3"/>
        <v>0_0</v>
      </c>
      <c r="K89" s="87" t="str">
        <f>IFERROR(IF(VLOOKUP(A89,'Service Coverage'!$A:$C,3,0)="","",VLOOKUP(A89,'Service Coverage'!$A:$C,3,0)),"")</f>
        <v/>
      </c>
      <c r="L89" s="87" t="str">
        <f>IFERROR(IF(VLOOKUP(A89,'Service Coverage'!$A:$D,4,0)="","",VLOOKUP(A89,'Service Coverage'!$A:$D,4,0)),"")</f>
        <v/>
      </c>
      <c r="M89" s="87" t="str">
        <f>IFERROR(IF(VLOOKUP(A89,'Service Coverage'!$A:$E,5,0)="","",VLOOKUP(A89,'Service Coverage'!$A:$E,5,0)),"")</f>
        <v/>
      </c>
      <c r="N89" s="87" t="str">
        <f>IFERROR(IF(VLOOKUP(A89,'Service Coverage'!$A:$F,6,0)="","",VLOOKUP(A89,'Service Coverage'!$A:$F,6,0)),"")</f>
        <v/>
      </c>
      <c r="O89" s="87" t="str">
        <f>IFERROR(IF(VLOOKUP(A89,'Service Coverage'!$A:$G,7,0)="","",VLOOKUP(A89,'Service Coverage'!$A:$G,7,0)),"")</f>
        <v/>
      </c>
      <c r="P89" s="87" t="str">
        <f>IFERROR(IF(VLOOKUP(A89,Adequacy!$A:$C,3,0)="","",VLOOKUP(A89,Adequacy!$A:$C,3,0)),"")</f>
        <v/>
      </c>
      <c r="Q89" s="87" t="str">
        <f>IFERROR(IF(VLOOKUP(A89,Adequacy!$A:$D,4,0)="","",VLOOKUP(A89,Adequacy!$A:$D,4,0)),"")</f>
        <v/>
      </c>
      <c r="R89" s="37" t="str">
        <f>IFERROR(IF(VLOOKUP(A89,Adequacy!$A:$E,5,0)="","",VLOOKUP(A89,Adequacy!$A:$E,5,0)),"")</f>
        <v/>
      </c>
      <c r="S89" s="87" t="str">
        <f>IFERROR(IF(VLOOKUP(A89,Adequacy!$A:$G,7,0)="","",VLOOKUP(A89,Adequacy!$A:$G,7,0)),"")</f>
        <v/>
      </c>
      <c r="T89" s="37" t="str">
        <f>IFERROR(IF(VLOOKUP(A89,Adequacy!$A:$H,8,0)="","",VLOOKUP(A89,Adequacy!$A:$H,8,0)),"")</f>
        <v/>
      </c>
      <c r="U89" s="37" t="str">
        <f>IFERROR(IF(VLOOKUP(A89,Adequacy!$A:$J,10,0)="","",VLOOKUP(A89,Adequacy!$A:$J,10,0)),"")</f>
        <v/>
      </c>
      <c r="V89" s="37" t="str">
        <f>IFERROR(IF(VLOOKUP(A89,'Water Quality Score'!$A:$C,3,0)="","",VLOOKUP(A89,'Water Quality Score'!$A:$C,3,0)),"")</f>
        <v/>
      </c>
      <c r="W89" s="87" t="str">
        <f>IFERROR(IF(VLOOKUP(A89,'Water Quality Score'!$A:$D,4,0)="","",VLOOKUP(A89,'Water Quality Score'!$A:$D,4,0)),"")</f>
        <v/>
      </c>
      <c r="X89" s="37" t="str">
        <f>IFERROR(IF(VLOOKUP(A89,'Water Quality Score'!$A:$E,5,0)="","",VLOOKUP(A89,'Water Quality Score'!$A:$E,5,0)),"")</f>
        <v/>
      </c>
      <c r="Y89" s="37" t="str">
        <f>IFERROR(IF(VLOOKUP(A89,'Water Quality Score'!$A:$F,6,0)="","",VLOOKUP(A89,'Water Quality Score'!$A:$F,6,0)),"")</f>
        <v/>
      </c>
      <c r="Z89" s="37" t="str">
        <f>IFERROR(IF(VLOOKUP(A89,'Reliability score'!$A:$C,3,0)="","",VLOOKUP(A89,'Reliability score'!$A:$C,3,0)),"")</f>
        <v/>
      </c>
      <c r="AA89" s="37" t="str">
        <f>IFERROR(IF(VLOOKUP(A89,'Reliability score'!$A:$D,4,0)="","",VLOOKUP(A89,'Reliability score'!$A:$D,4,0)),"")</f>
        <v/>
      </c>
      <c r="AB89" s="37" t="str">
        <f>IFERROR(IF(VLOOKUP(A89,NRW!$A:$C,3,0)="","",VLOOKUP(A89,NRW!$A:$C,3,0)),"")</f>
        <v/>
      </c>
      <c r="AC89" s="37" t="str">
        <f>IFERROR(IF(VLOOKUP(A89,NRW!$A:$D,4,0)="","",VLOOKUP(A89,NRW!$A:$D,4,0)),"")</f>
        <v/>
      </c>
      <c r="AD89" s="37" t="str">
        <f>IFERROR(IF(VLOOKUP(A89,NRW!$A:$E,5,0)="","",VLOOKUP(A89,NRW!$A:$E,5,0)),"")</f>
        <v/>
      </c>
      <c r="AE89" s="37" t="str">
        <f>IFERROR(IF(VLOOKUP(A89,NRW!$A:$F,6,0)="","",VLOOKUP(A89,NRW!$A:$F,6,0)),"")</f>
        <v/>
      </c>
      <c r="AF89" s="37" t="str">
        <f>IFERROR(IF(VLOOKUP(A89,NRW!$A:$G,7,0)="","",VLOOKUP(A89,NRW!$A:$G,7,0)),"")</f>
        <v/>
      </c>
      <c r="AG89" s="37" t="str">
        <f>IFERROR(IF(OR(VLOOKUP(A89,NRW!$A:$H,8,0)="",VLOOKUP(A89,NRW!$A:$H,8,0)=0),"",VLOOKUP(A89,NRW!$A:$H,8,0)),"")</f>
        <v/>
      </c>
      <c r="AH89" s="87" t="str">
        <f>IFERROR(IF(VLOOKUP(A89,'O&amp;M score'!$A:$D,4,0)="","",VLOOKUP(A89,'O&amp;M score'!$A:$D,4,0)),"")</f>
        <v/>
      </c>
      <c r="AI89" s="87" t="str">
        <f>IFERROR(IF(VLOOKUP(A89,'O&amp;M score'!$A:$E,5,0)="","",VLOOKUP(A89,'O&amp;M score'!$A:$E,5,0)),"")</f>
        <v/>
      </c>
      <c r="AJ89" s="87" t="str">
        <f>IFERROR(IF(VLOOKUP(A89,'O&amp;M score'!$A:$F,6,0)="","",VLOOKUP(A89,'O&amp;M score'!$A:$F,6,0)),"")</f>
        <v/>
      </c>
      <c r="AK89" s="87" t="str">
        <f>IFERROR(IF(VLOOKUP(A89,'O&amp;M score'!$A:$G,7,0)="","",VLOOKUP(A89,'O&amp;M score'!$A:$G,7,0)),"")</f>
        <v/>
      </c>
      <c r="AL89" s="87" t="str">
        <f>IFERROR(IF(VLOOKUP(A89,'Metering Ratio Score'!$A:$C,3,0)="","",VLOOKUP(A89,'Metering Ratio Score'!$A:$C,3,0)),"")</f>
        <v/>
      </c>
      <c r="AM89" s="87" t="str">
        <f>IFERROR(IF(VLOOKUP(A89,'Metering Ratio Score'!$A:$D,4,0)="","",VLOOKUP(A89,'Metering Ratio Score'!$A:$D,4,0)),"")</f>
        <v/>
      </c>
      <c r="AN89" s="87" t="str">
        <f>IFERROR(IF(VLOOKUP(A89,'Metering Ratio Score'!$A:$E,5,0)="","",VLOOKUP(A89,'Metering Ratio Score'!$A:$E,5,0)),"")</f>
        <v/>
      </c>
      <c r="AO89" s="87" t="str">
        <f>IFERROR(IF(VLOOKUP(A89,'Metering Ratio Score'!$A:$F,6,0)="","",VLOOKUP(A89,'Metering Ratio Score'!$A:$F,6,0)),"")</f>
        <v/>
      </c>
      <c r="AP89" s="87" t="str">
        <f>IFERROR(IF(VLOOKUP(A89,'Grievance Addressal'!$A:$C,3,0)="","",VLOOKUP(A89,'Grievance Addressal'!$A:$C,3,0)),"")</f>
        <v/>
      </c>
      <c r="AQ89" s="87" t="str">
        <f>IFERROR(IF(VLOOKUP(A89,'Grievance Addressal'!$A:$D,4,0)="","",VLOOKUP(A89,'Grievance Addressal'!$A:$D,4,0)),"")</f>
        <v/>
      </c>
      <c r="AR89" s="87" t="str">
        <f>IFERROR(IF(VLOOKUP(A89,'Grievance Addressal'!$A:$E,5,0)="","",VLOOKUP(A89,'Grievance Addressal'!$A:$E,5,0)),"")</f>
        <v/>
      </c>
      <c r="AS89" s="87" t="str">
        <f>IFERROR(IF(VLOOKUP(A89,Summary_Index!$A$5:$N$281,7,0)="","",VLOOKUP(A89,Summary_Index!$A$5:$N$281,7,0)),"")</f>
        <v/>
      </c>
      <c r="AT89" s="87" t="str">
        <f>IFERROR(IF(VLOOKUP(A89,Summary_Index!$A$5:$N$281,12,0)="","",VLOOKUP(A89,Summary_Index!$A$5:$N$281,12,0)),"")</f>
        <v/>
      </c>
      <c r="AU89" s="87" t="str">
        <f>IFERROR(IF(VLOOKUP(A89,Summary_Index!$A$5:$N$281,13,0)="","",VLOOKUP(A89,Summary_Index!$A$5:$N$281,13,0)),"")</f>
        <v/>
      </c>
      <c r="AV89" s="87" t="str">
        <f>IFERROR(IF(VLOOKUP(A89,Summary_Index!$A$5:$N$281,14,0)="","",VLOOKUP(A89,Summary_Index!$A$5:$N$281,14,0)),"")</f>
        <v/>
      </c>
    </row>
    <row r="90" spans="1:48" ht="45.6" customHeight="1" x14ac:dyDescent="0.3">
      <c r="A90" s="87">
        <f>Spatial!A90</f>
        <v>0</v>
      </c>
      <c r="B90" s="87">
        <f>Spatial!B90</f>
        <v>0</v>
      </c>
      <c r="C90" s="87">
        <f>Spatial!C90</f>
        <v>0</v>
      </c>
      <c r="D90" s="87">
        <f>Spatial!D90</f>
        <v>0</v>
      </c>
      <c r="E90" s="87">
        <f>Spatial!E90</f>
        <v>0</v>
      </c>
      <c r="F90" s="87">
        <f>Spatial!F90</f>
        <v>0</v>
      </c>
      <c r="G90" s="87">
        <f>IFERROR(Spatial!G90,"")</f>
        <v>0</v>
      </c>
      <c r="H90" s="37"/>
      <c r="I90" s="37"/>
      <c r="J90" s="87" t="str">
        <f t="shared" si="3"/>
        <v>0_0</v>
      </c>
      <c r="K90" s="87" t="str">
        <f>IFERROR(IF(VLOOKUP(A90,'Service Coverage'!$A:$C,3,0)="","",VLOOKUP(A90,'Service Coverage'!$A:$C,3,0)),"")</f>
        <v/>
      </c>
      <c r="L90" s="87" t="str">
        <f>IFERROR(IF(VLOOKUP(A90,'Service Coverage'!$A:$D,4,0)="","",VLOOKUP(A90,'Service Coverage'!$A:$D,4,0)),"")</f>
        <v/>
      </c>
      <c r="M90" s="87" t="str">
        <f>IFERROR(IF(VLOOKUP(A90,'Service Coverage'!$A:$E,5,0)="","",VLOOKUP(A90,'Service Coverage'!$A:$E,5,0)),"")</f>
        <v/>
      </c>
      <c r="N90" s="87" t="str">
        <f>IFERROR(IF(VLOOKUP(A90,'Service Coverage'!$A:$F,6,0)="","",VLOOKUP(A90,'Service Coverage'!$A:$F,6,0)),"")</f>
        <v/>
      </c>
      <c r="O90" s="87" t="str">
        <f>IFERROR(IF(VLOOKUP(A90,'Service Coverage'!$A:$G,7,0)="","",VLOOKUP(A90,'Service Coverage'!$A:$G,7,0)),"")</f>
        <v/>
      </c>
      <c r="P90" s="87" t="str">
        <f>IFERROR(IF(VLOOKUP(A90,Adequacy!$A:$C,3,0)="","",VLOOKUP(A90,Adequacy!$A:$C,3,0)),"")</f>
        <v/>
      </c>
      <c r="Q90" s="87" t="str">
        <f>IFERROR(IF(VLOOKUP(A90,Adequacy!$A:$D,4,0)="","",VLOOKUP(A90,Adequacy!$A:$D,4,0)),"")</f>
        <v/>
      </c>
      <c r="R90" s="37" t="str">
        <f>IFERROR(IF(VLOOKUP(A90,Adequacy!$A:$E,5,0)="","",VLOOKUP(A90,Adequacy!$A:$E,5,0)),"")</f>
        <v/>
      </c>
      <c r="S90" s="87" t="str">
        <f>IFERROR(IF(VLOOKUP(A90,Adequacy!$A:$G,7,0)="","",VLOOKUP(A90,Adequacy!$A:$G,7,0)),"")</f>
        <v/>
      </c>
      <c r="T90" s="37" t="str">
        <f>IFERROR(IF(VLOOKUP(A90,Adequacy!$A:$H,8,0)="","",VLOOKUP(A90,Adequacy!$A:$H,8,0)),"")</f>
        <v/>
      </c>
      <c r="U90" s="37" t="str">
        <f>IFERROR(IF(VLOOKUP(A90,Adequacy!$A:$J,10,0)="","",VLOOKUP(A90,Adequacy!$A:$J,10,0)),"")</f>
        <v/>
      </c>
      <c r="V90" s="87" t="str">
        <f>IFERROR(IF(VLOOKUP(A90,'Water Quality Score'!$A:$C,3,0)="","",VLOOKUP(A90,'Water Quality Score'!$A:$C,3,0)),"")</f>
        <v/>
      </c>
      <c r="W90" s="87" t="str">
        <f>IFERROR(IF(VLOOKUP(A90,'Water Quality Score'!$A:$D,4,0)="","",VLOOKUP(A90,'Water Quality Score'!$A:$D,4,0)),"")</f>
        <v/>
      </c>
      <c r="X90" s="37" t="str">
        <f>IFERROR(IF(VLOOKUP(A90,'Water Quality Score'!$A:$E,5,0)="","",VLOOKUP(A90,'Water Quality Score'!$A:$E,5,0)),"")</f>
        <v/>
      </c>
      <c r="Y90" s="37" t="str">
        <f>IFERROR(IF(VLOOKUP(A90,'Water Quality Score'!$A:$F,6,0)="","",VLOOKUP(A90,'Water Quality Score'!$A:$F,6,0)),"")</f>
        <v/>
      </c>
      <c r="Z90" s="37" t="str">
        <f>IFERROR(IF(VLOOKUP(A90,'Reliability score'!$A:$C,3,0)="","",VLOOKUP(A90,'Reliability score'!$A:$C,3,0)),"")</f>
        <v/>
      </c>
      <c r="AA90" s="37" t="str">
        <f>IFERROR(IF(VLOOKUP(A90,'Reliability score'!$A:$D,4,0)="","",VLOOKUP(A90,'Reliability score'!$A:$D,4,0)),"")</f>
        <v/>
      </c>
      <c r="AB90" s="37" t="str">
        <f>IFERROR(IF(VLOOKUP(A90,NRW!$A:$C,3,0)="","",VLOOKUP(A90,NRW!$A:$C,3,0)),"")</f>
        <v/>
      </c>
      <c r="AC90" s="37" t="str">
        <f>IFERROR(IF(VLOOKUP(A90,NRW!$A:$D,4,0)="","",VLOOKUP(A90,NRW!$A:$D,4,0)),"")</f>
        <v/>
      </c>
      <c r="AD90" s="37" t="str">
        <f>IFERROR(IF(VLOOKUP(A90,NRW!$A:$E,5,0)="","",VLOOKUP(A90,NRW!$A:$E,5,0)),"")</f>
        <v/>
      </c>
      <c r="AE90" s="37" t="str">
        <f>IFERROR(IF(VLOOKUP(A90,NRW!$A:$F,6,0)="","",VLOOKUP(A90,NRW!$A:$F,6,0)),"")</f>
        <v/>
      </c>
      <c r="AF90" s="37" t="str">
        <f>IFERROR(IF(VLOOKUP(A90,NRW!$A:$G,7,0)="","",VLOOKUP(A90,NRW!$A:$G,7,0)),"")</f>
        <v/>
      </c>
      <c r="AG90" s="37" t="str">
        <f>IFERROR(IF(OR(VLOOKUP(A90,NRW!$A:$H,8,0)="",VLOOKUP(A90,NRW!$A:$H,8,0)=0),"",VLOOKUP(A90,NRW!$A:$H,8,0)),"")</f>
        <v/>
      </c>
      <c r="AH90" s="87" t="str">
        <f>IFERROR(IF(VLOOKUP(A90,'O&amp;M score'!$A:$D,4,0)="","",VLOOKUP(A90,'O&amp;M score'!$A:$D,4,0)),"")</f>
        <v/>
      </c>
      <c r="AI90" s="87" t="str">
        <f>IFERROR(IF(VLOOKUP(A90,'O&amp;M score'!$A:$E,5,0)="","",VLOOKUP(A90,'O&amp;M score'!$A:$E,5,0)),"")</f>
        <v/>
      </c>
      <c r="AJ90" s="87" t="str">
        <f>IFERROR(IF(VLOOKUP(A90,'O&amp;M score'!$A:$F,6,0)="","",VLOOKUP(A90,'O&amp;M score'!$A:$F,6,0)),"")</f>
        <v/>
      </c>
      <c r="AK90" s="87" t="str">
        <f>IFERROR(IF(VLOOKUP(A90,'O&amp;M score'!$A:$G,7,0)="","",VLOOKUP(A90,'O&amp;M score'!$A:$G,7,0)),"")</f>
        <v/>
      </c>
      <c r="AL90" s="87" t="str">
        <f>IFERROR(IF(VLOOKUP(A90,'Metering Ratio Score'!$A:$C,3,0)="","",VLOOKUP(A90,'Metering Ratio Score'!$A:$C,3,0)),"")</f>
        <v/>
      </c>
      <c r="AM90" s="87" t="str">
        <f>IFERROR(IF(VLOOKUP(A90,'Metering Ratio Score'!$A:$D,4,0)="","",VLOOKUP(A90,'Metering Ratio Score'!$A:$D,4,0)),"")</f>
        <v/>
      </c>
      <c r="AN90" s="87" t="str">
        <f>IFERROR(IF(VLOOKUP(A90,'Metering Ratio Score'!$A:$E,5,0)="","",VLOOKUP(A90,'Metering Ratio Score'!$A:$E,5,0)),"")</f>
        <v/>
      </c>
      <c r="AO90" s="87" t="str">
        <f>IFERROR(IF(VLOOKUP(A90,'Metering Ratio Score'!$A:$F,6,0)="","",VLOOKUP(A90,'Metering Ratio Score'!$A:$F,6,0)),"")</f>
        <v/>
      </c>
      <c r="AP90" s="87" t="str">
        <f>IFERROR(IF(VLOOKUP(A90,'Grievance Addressal'!$A:$C,3,0)="","",VLOOKUP(A90,'Grievance Addressal'!$A:$C,3,0)),"")</f>
        <v/>
      </c>
      <c r="AQ90" s="87" t="str">
        <f>IFERROR(IF(VLOOKUP(A90,'Grievance Addressal'!$A:$D,4,0)="","",VLOOKUP(A90,'Grievance Addressal'!$A:$D,4,0)),"")</f>
        <v/>
      </c>
      <c r="AR90" s="87" t="str">
        <f>IFERROR(IF(VLOOKUP(A90,'Grievance Addressal'!$A:$E,5,0)="","",VLOOKUP(A90,'Grievance Addressal'!$A:$E,5,0)),"")</f>
        <v/>
      </c>
      <c r="AS90" s="87" t="str">
        <f>IFERROR(IF(VLOOKUP(A90,Summary_Index!$A$5:$N$281,7,0)="","",VLOOKUP(A90,Summary_Index!$A$5:$N$281,7,0)),"")</f>
        <v/>
      </c>
      <c r="AT90" s="87" t="str">
        <f>IFERROR(IF(VLOOKUP(A90,Summary_Index!$A$5:$N$281,12,0)="","",VLOOKUP(A90,Summary_Index!$A$5:$N$281,12,0)),"")</f>
        <v/>
      </c>
      <c r="AU90" s="87" t="str">
        <f>IFERROR(IF(VLOOKUP(A90,Summary_Index!$A$5:$N$281,13,0)="","",VLOOKUP(A90,Summary_Index!$A$5:$N$281,13,0)),"")</f>
        <v/>
      </c>
      <c r="AV90" s="87" t="str">
        <f>IFERROR(IF(VLOOKUP(A90,Summary_Index!$A$5:$N$281,14,0)="","",VLOOKUP(A90,Summary_Index!$A$5:$N$281,14,0)),"")</f>
        <v/>
      </c>
    </row>
    <row r="91" spans="1:48" ht="45.6" customHeight="1" x14ac:dyDescent="0.3">
      <c r="A91" s="87">
        <f>Spatial!A91</f>
        <v>0</v>
      </c>
      <c r="B91" s="87">
        <f>Spatial!B91</f>
        <v>0</v>
      </c>
      <c r="C91" s="87">
        <f>Spatial!C91</f>
        <v>0</v>
      </c>
      <c r="D91" s="87">
        <f>Spatial!D91</f>
        <v>0</v>
      </c>
      <c r="E91" s="87">
        <f>Spatial!E91</f>
        <v>0</v>
      </c>
      <c r="F91" s="87">
        <f>Spatial!F91</f>
        <v>0</v>
      </c>
      <c r="G91" s="87">
        <f>IFERROR(Spatial!G91,"")</f>
        <v>0</v>
      </c>
      <c r="H91" s="37"/>
      <c r="I91" s="37"/>
      <c r="J91" s="87" t="str">
        <f t="shared" si="3"/>
        <v>0_0</v>
      </c>
      <c r="K91" s="87" t="str">
        <f>IFERROR(IF(VLOOKUP(A91,'Service Coverage'!$A:$C,3,0)="","",VLOOKUP(A91,'Service Coverage'!$A:$C,3,0)),"")</f>
        <v/>
      </c>
      <c r="L91" s="87" t="str">
        <f>IFERROR(IF(VLOOKUP(A91,'Service Coverage'!$A:$D,4,0)="","",VLOOKUP(A91,'Service Coverage'!$A:$D,4,0)),"")</f>
        <v/>
      </c>
      <c r="M91" s="87" t="str">
        <f>IFERROR(IF(VLOOKUP(A91,'Service Coverage'!$A:$E,5,0)="","",VLOOKUP(A91,'Service Coverage'!$A:$E,5,0)),"")</f>
        <v/>
      </c>
      <c r="N91" s="87" t="str">
        <f>IFERROR(IF(VLOOKUP(A91,'Service Coverage'!$A:$F,6,0)="","",VLOOKUP(A91,'Service Coverage'!$A:$F,6,0)),"")</f>
        <v/>
      </c>
      <c r="O91" s="87" t="str">
        <f>IFERROR(IF(VLOOKUP(A91,'Service Coverage'!$A:$G,7,0)="","",VLOOKUP(A91,'Service Coverage'!$A:$G,7,0)),"")</f>
        <v/>
      </c>
      <c r="P91" s="87" t="str">
        <f>IFERROR(IF(VLOOKUP(A91,Adequacy!$A:$C,3,0)="","",VLOOKUP(A91,Adequacy!$A:$C,3,0)),"")</f>
        <v/>
      </c>
      <c r="Q91" s="87" t="str">
        <f>IFERROR(IF(VLOOKUP(A91,Adequacy!$A:$D,4,0)="","",VLOOKUP(A91,Adequacy!$A:$D,4,0)),"")</f>
        <v/>
      </c>
      <c r="R91" s="37" t="str">
        <f>IFERROR(IF(VLOOKUP(A91,Adequacy!$A:$E,5,0)="","",VLOOKUP(A91,Adequacy!$A:$E,5,0)),"")</f>
        <v/>
      </c>
      <c r="S91" s="87" t="str">
        <f>IFERROR(IF(VLOOKUP(A91,Adequacy!$A:$G,7,0)="","",VLOOKUP(A91,Adequacy!$A:$G,7,0)),"")</f>
        <v/>
      </c>
      <c r="T91" s="37" t="str">
        <f>IFERROR(IF(VLOOKUP(A91,Adequacy!$A:$H,8,0)="","",VLOOKUP(A91,Adequacy!$A:$H,8,0)),"")</f>
        <v/>
      </c>
      <c r="U91" s="37" t="str">
        <f>IFERROR(IF(VLOOKUP(A91,Adequacy!$A:$J,10,0)="","",VLOOKUP(A91,Adequacy!$A:$J,10,0)),"")</f>
        <v/>
      </c>
      <c r="V91" s="87" t="str">
        <f>IFERROR(IF(VLOOKUP(A91,'Water Quality Score'!$A:$C,3,0)="","",VLOOKUP(A91,'Water Quality Score'!$A:$C,3,0)),"")</f>
        <v/>
      </c>
      <c r="W91" s="87" t="str">
        <f>IFERROR(IF(VLOOKUP(A91,'Water Quality Score'!$A:$D,4,0)="","",VLOOKUP(A91,'Water Quality Score'!$A:$D,4,0)),"")</f>
        <v/>
      </c>
      <c r="X91" s="37" t="str">
        <f>IFERROR(IF(VLOOKUP(A91,'Water Quality Score'!$A:$E,5,0)="","",VLOOKUP(A91,'Water Quality Score'!$A:$E,5,0)),"")</f>
        <v/>
      </c>
      <c r="Y91" s="37" t="str">
        <f>IFERROR(IF(VLOOKUP(A91,'Water Quality Score'!$A:$F,6,0)="","",VLOOKUP(A91,'Water Quality Score'!$A:$F,6,0)),"")</f>
        <v/>
      </c>
      <c r="Z91" s="37" t="str">
        <f>IFERROR(IF(VLOOKUP(A91,'Reliability score'!$A:$C,3,0)="","",VLOOKUP(A91,'Reliability score'!$A:$C,3,0)),"")</f>
        <v/>
      </c>
      <c r="AA91" s="37" t="str">
        <f>IFERROR(IF(VLOOKUP(A91,'Reliability score'!$A:$D,4,0)="","",VLOOKUP(A91,'Reliability score'!$A:$D,4,0)),"")</f>
        <v/>
      </c>
      <c r="AB91" s="37" t="str">
        <f>IFERROR(IF(VLOOKUP(A91,NRW!$A:$C,3,0)="","",VLOOKUP(A91,NRW!$A:$C,3,0)),"")</f>
        <v/>
      </c>
      <c r="AC91" s="37" t="str">
        <f>IFERROR(IF(VLOOKUP(A91,NRW!$A:$D,4,0)="","",VLOOKUP(A91,NRW!$A:$D,4,0)),"")</f>
        <v/>
      </c>
      <c r="AD91" s="37" t="str">
        <f>IFERROR(IF(VLOOKUP(A91,NRW!$A:$E,5,0)="","",VLOOKUP(A91,NRW!$A:$E,5,0)),"")</f>
        <v/>
      </c>
      <c r="AE91" s="37" t="str">
        <f>IFERROR(IF(VLOOKUP(A91,NRW!$A:$F,6,0)="","",VLOOKUP(A91,NRW!$A:$F,6,0)),"")</f>
        <v/>
      </c>
      <c r="AF91" s="37" t="str">
        <f>IFERROR(IF(VLOOKUP(A91,NRW!$A:$G,7,0)="","",VLOOKUP(A91,NRW!$A:$G,7,0)),"")</f>
        <v/>
      </c>
      <c r="AG91" s="37" t="str">
        <f>IFERROR(IF(OR(VLOOKUP(A91,NRW!$A:$H,8,0)="",VLOOKUP(A91,NRW!$A:$H,8,0)=0),"",VLOOKUP(A91,NRW!$A:$H,8,0)),"")</f>
        <v/>
      </c>
      <c r="AH91" s="87" t="str">
        <f>IFERROR(IF(VLOOKUP(A91,'O&amp;M score'!$A:$D,4,0)="","",VLOOKUP(A91,'O&amp;M score'!$A:$D,4,0)),"")</f>
        <v/>
      </c>
      <c r="AI91" s="87" t="str">
        <f>IFERROR(IF(VLOOKUP(A91,'O&amp;M score'!$A:$E,5,0)="","",VLOOKUP(A91,'O&amp;M score'!$A:$E,5,0)),"")</f>
        <v/>
      </c>
      <c r="AJ91" s="87" t="str">
        <f>IFERROR(IF(VLOOKUP(A91,'O&amp;M score'!$A:$F,6,0)="","",VLOOKUP(A91,'O&amp;M score'!$A:$F,6,0)),"")</f>
        <v/>
      </c>
      <c r="AK91" s="87" t="str">
        <f>IFERROR(IF(VLOOKUP(A91,'O&amp;M score'!$A:$G,7,0)="","",VLOOKUP(A91,'O&amp;M score'!$A:$G,7,0)),"")</f>
        <v/>
      </c>
      <c r="AL91" s="87" t="str">
        <f>IFERROR(IF(VLOOKUP(A91,'Metering Ratio Score'!$A:$C,3,0)="","",VLOOKUP(A91,'Metering Ratio Score'!$A:$C,3,0)),"")</f>
        <v/>
      </c>
      <c r="AM91" s="87" t="str">
        <f>IFERROR(IF(VLOOKUP(A91,'Metering Ratio Score'!$A:$D,4,0)="","",VLOOKUP(A91,'Metering Ratio Score'!$A:$D,4,0)),"")</f>
        <v/>
      </c>
      <c r="AN91" s="87" t="str">
        <f>IFERROR(IF(VLOOKUP(A91,'Metering Ratio Score'!$A:$E,5,0)="","",VLOOKUP(A91,'Metering Ratio Score'!$A:$E,5,0)),"")</f>
        <v/>
      </c>
      <c r="AO91" s="87" t="str">
        <f>IFERROR(IF(VLOOKUP(A91,'Metering Ratio Score'!$A:$F,6,0)="","",VLOOKUP(A91,'Metering Ratio Score'!$A:$F,6,0)),"")</f>
        <v/>
      </c>
      <c r="AP91" s="87" t="str">
        <f>IFERROR(IF(VLOOKUP(A91,'Grievance Addressal'!$A:$C,3,0)="","",VLOOKUP(A91,'Grievance Addressal'!$A:$C,3,0)),"")</f>
        <v/>
      </c>
      <c r="AQ91" s="87" t="str">
        <f>IFERROR(IF(VLOOKUP(A91,'Grievance Addressal'!$A:$D,4,0)="","",VLOOKUP(A91,'Grievance Addressal'!$A:$D,4,0)),"")</f>
        <v/>
      </c>
      <c r="AR91" s="87" t="str">
        <f>IFERROR(IF(VLOOKUP(A91,'Grievance Addressal'!$A:$E,5,0)="","",VLOOKUP(A91,'Grievance Addressal'!$A:$E,5,0)),"")</f>
        <v/>
      </c>
      <c r="AS91" s="87" t="str">
        <f>IFERROR(IF(VLOOKUP(A91,Summary_Index!$A$5:$N$281,7,0)="","",VLOOKUP(A91,Summary_Index!$A$5:$N$281,7,0)),"")</f>
        <v/>
      </c>
      <c r="AT91" s="87" t="str">
        <f>IFERROR(IF(VLOOKUP(A91,Summary_Index!$A$5:$N$281,12,0)="","",VLOOKUP(A91,Summary_Index!$A$5:$N$281,12,0)),"")</f>
        <v/>
      </c>
      <c r="AU91" s="87" t="str">
        <f>IFERROR(IF(VLOOKUP(A91,Summary_Index!$A$5:$N$281,13,0)="","",VLOOKUP(A91,Summary_Index!$A$5:$N$281,13,0)),"")</f>
        <v/>
      </c>
      <c r="AV91" s="87" t="str">
        <f>IFERROR(IF(VLOOKUP(A91,Summary_Index!$A$5:$N$281,14,0)="","",VLOOKUP(A91,Summary_Index!$A$5:$N$281,14,0)),"")</f>
        <v/>
      </c>
    </row>
    <row r="92" spans="1:48" ht="45.6" customHeight="1" x14ac:dyDescent="0.3">
      <c r="A92" s="87">
        <f>Spatial!A92</f>
        <v>0</v>
      </c>
      <c r="B92" s="87">
        <f>Spatial!B92</f>
        <v>0</v>
      </c>
      <c r="C92" s="87">
        <f>Spatial!C92</f>
        <v>0</v>
      </c>
      <c r="D92" s="87">
        <f>Spatial!D92</f>
        <v>0</v>
      </c>
      <c r="E92" s="87">
        <f>Spatial!E92</f>
        <v>0</v>
      </c>
      <c r="F92" s="87">
        <f>Spatial!F92</f>
        <v>0</v>
      </c>
      <c r="G92" s="87">
        <f>IFERROR(Spatial!G92,"")</f>
        <v>0</v>
      </c>
      <c r="H92" s="37"/>
      <c r="I92" s="37"/>
      <c r="J92" s="87" t="str">
        <f t="shared" si="3"/>
        <v>0_0</v>
      </c>
      <c r="K92" s="87" t="str">
        <f>IFERROR(IF(VLOOKUP(A92,'Service Coverage'!$A:$C,3,0)="","",VLOOKUP(A92,'Service Coverage'!$A:$C,3,0)),"")</f>
        <v/>
      </c>
      <c r="L92" s="87" t="str">
        <f>IFERROR(IF(VLOOKUP(A92,'Service Coverage'!$A:$D,4,0)="","",VLOOKUP(A92,'Service Coverage'!$A:$D,4,0)),"")</f>
        <v/>
      </c>
      <c r="M92" s="87" t="str">
        <f>IFERROR(IF(VLOOKUP(A92,'Service Coverage'!$A:$E,5,0)="","",VLOOKUP(A92,'Service Coverage'!$A:$E,5,0)),"")</f>
        <v/>
      </c>
      <c r="N92" s="87" t="str">
        <f>IFERROR(IF(VLOOKUP(A92,'Service Coverage'!$A:$F,6,0)="","",VLOOKUP(A92,'Service Coverage'!$A:$F,6,0)),"")</f>
        <v/>
      </c>
      <c r="O92" s="87" t="str">
        <f>IFERROR(IF(VLOOKUP(A92,'Service Coverage'!$A:$G,7,0)="","",VLOOKUP(A92,'Service Coverage'!$A:$G,7,0)),"")</f>
        <v/>
      </c>
      <c r="P92" s="87" t="str">
        <f>IFERROR(IF(VLOOKUP(A92,Adequacy!$A:$C,3,0)="","",VLOOKUP(A92,Adequacy!$A:$C,3,0)),"")</f>
        <v/>
      </c>
      <c r="Q92" s="87" t="str">
        <f>IFERROR(IF(VLOOKUP(A92,Adequacy!$A:$D,4,0)="","",VLOOKUP(A92,Adequacy!$A:$D,4,0)),"")</f>
        <v/>
      </c>
      <c r="R92" s="37" t="str">
        <f>IFERROR(IF(VLOOKUP(A92,Adequacy!$A:$E,5,0)="","",VLOOKUP(A92,Adequacy!$A:$E,5,0)),"")</f>
        <v/>
      </c>
      <c r="S92" s="87" t="str">
        <f>IFERROR(IF(VLOOKUP(A92,Adequacy!$A:$G,7,0)="","",VLOOKUP(A92,Adequacy!$A:$G,7,0)),"")</f>
        <v/>
      </c>
      <c r="T92" s="37" t="str">
        <f>IFERROR(IF(VLOOKUP(A92,Adequacy!$A:$H,8,0)="","",VLOOKUP(A92,Adequacy!$A:$H,8,0)),"")</f>
        <v/>
      </c>
      <c r="U92" s="37" t="str">
        <f>IFERROR(IF(VLOOKUP(A92,Adequacy!$A:$J,10,0)="","",VLOOKUP(A92,Adequacy!$A:$J,10,0)),"")</f>
        <v/>
      </c>
      <c r="V92" s="87" t="str">
        <f>IFERROR(IF(VLOOKUP(A92,'Water Quality Score'!$A:$C,3,0)="","",VLOOKUP(A92,'Water Quality Score'!$A:$C,3,0)),"")</f>
        <v/>
      </c>
      <c r="W92" s="87" t="str">
        <f>IFERROR(IF(VLOOKUP(A92,'Water Quality Score'!$A:$D,4,0)="","",VLOOKUP(A92,'Water Quality Score'!$A:$D,4,0)),"")</f>
        <v/>
      </c>
      <c r="X92" s="37" t="str">
        <f>IFERROR(IF(VLOOKUP(A92,'Water Quality Score'!$A:$E,5,0)="","",VLOOKUP(A92,'Water Quality Score'!$A:$E,5,0)),"")</f>
        <v/>
      </c>
      <c r="Y92" s="37" t="str">
        <f>IFERROR(IF(VLOOKUP(A92,'Water Quality Score'!$A:$F,6,0)="","",VLOOKUP(A92,'Water Quality Score'!$A:$F,6,0)),"")</f>
        <v/>
      </c>
      <c r="Z92" s="37" t="str">
        <f>IFERROR(IF(VLOOKUP(A92,'Reliability score'!$A:$C,3,0)="","",VLOOKUP(A92,'Reliability score'!$A:$C,3,0)),"")</f>
        <v/>
      </c>
      <c r="AA92" s="37" t="str">
        <f>IFERROR(IF(VLOOKUP(A92,'Reliability score'!$A:$D,4,0)="","",VLOOKUP(A92,'Reliability score'!$A:$D,4,0)),"")</f>
        <v/>
      </c>
      <c r="AB92" s="37" t="str">
        <f>IFERROR(IF(VLOOKUP(A92,NRW!$A:$C,3,0)="","",VLOOKUP(A92,NRW!$A:$C,3,0)),"")</f>
        <v/>
      </c>
      <c r="AC92" s="37" t="str">
        <f>IFERROR(IF(VLOOKUP(A92,NRW!$A:$D,4,0)="","",VLOOKUP(A92,NRW!$A:$D,4,0)),"")</f>
        <v/>
      </c>
      <c r="AD92" s="37" t="str">
        <f>IFERROR(IF(VLOOKUP(A92,NRW!$A:$E,5,0)="","",VLOOKUP(A92,NRW!$A:$E,5,0)),"")</f>
        <v/>
      </c>
      <c r="AE92" s="37" t="str">
        <f>IFERROR(IF(VLOOKUP(A92,NRW!$A:$F,6,0)="","",VLOOKUP(A92,NRW!$A:$F,6,0)),"")</f>
        <v/>
      </c>
      <c r="AF92" s="37" t="str">
        <f>IFERROR(IF(VLOOKUP(A92,NRW!$A:$G,7,0)="","",VLOOKUP(A92,NRW!$A:$G,7,0)),"")</f>
        <v/>
      </c>
      <c r="AG92" s="37" t="str">
        <f>IFERROR(IF(OR(VLOOKUP(A92,NRW!$A:$H,8,0)="",VLOOKUP(A92,NRW!$A:$H,8,0)=0),"",VLOOKUP(A92,NRW!$A:$H,8,0)),"")</f>
        <v/>
      </c>
      <c r="AH92" s="87" t="str">
        <f>IFERROR(IF(VLOOKUP(A92,'O&amp;M score'!$A:$D,4,0)="","",VLOOKUP(A92,'O&amp;M score'!$A:$D,4,0)),"")</f>
        <v/>
      </c>
      <c r="AI92" s="87" t="str">
        <f>IFERROR(IF(VLOOKUP(A92,'O&amp;M score'!$A:$E,5,0)="","",VLOOKUP(A92,'O&amp;M score'!$A:$E,5,0)),"")</f>
        <v/>
      </c>
      <c r="AJ92" s="87" t="str">
        <f>IFERROR(IF(VLOOKUP(A92,'O&amp;M score'!$A:$F,6,0)="","",VLOOKUP(A92,'O&amp;M score'!$A:$F,6,0)),"")</f>
        <v/>
      </c>
      <c r="AK92" s="87" t="str">
        <f>IFERROR(IF(VLOOKUP(A92,'O&amp;M score'!$A:$G,7,0)="","",VLOOKUP(A92,'O&amp;M score'!$A:$G,7,0)),"")</f>
        <v/>
      </c>
      <c r="AL92" s="87" t="str">
        <f>IFERROR(IF(VLOOKUP(A92,'Metering Ratio Score'!$A:$C,3,0)="","",VLOOKUP(A92,'Metering Ratio Score'!$A:$C,3,0)),"")</f>
        <v/>
      </c>
      <c r="AM92" s="87" t="str">
        <f>IFERROR(IF(VLOOKUP(A92,'Metering Ratio Score'!$A:$D,4,0)="","",VLOOKUP(A92,'Metering Ratio Score'!$A:$D,4,0)),"")</f>
        <v/>
      </c>
      <c r="AN92" s="87" t="str">
        <f>IFERROR(IF(VLOOKUP(A92,'Metering Ratio Score'!$A:$E,5,0)="","",VLOOKUP(A92,'Metering Ratio Score'!$A:$E,5,0)),"")</f>
        <v/>
      </c>
      <c r="AO92" s="87" t="str">
        <f>IFERROR(IF(VLOOKUP(A92,'Metering Ratio Score'!$A:$F,6,0)="","",VLOOKUP(A92,'Metering Ratio Score'!$A:$F,6,0)),"")</f>
        <v/>
      </c>
      <c r="AP92" s="87" t="str">
        <f>IFERROR(IF(VLOOKUP(A92,'Grievance Addressal'!$A:$C,3,0)="","",VLOOKUP(A92,'Grievance Addressal'!$A:$C,3,0)),"")</f>
        <v/>
      </c>
      <c r="AQ92" s="87" t="str">
        <f>IFERROR(IF(VLOOKUP(A92,'Grievance Addressal'!$A:$D,4,0)="","",VLOOKUP(A92,'Grievance Addressal'!$A:$D,4,0)),"")</f>
        <v/>
      </c>
      <c r="AR92" s="87" t="str">
        <f>IFERROR(IF(VLOOKUP(A92,'Grievance Addressal'!$A:$E,5,0)="","",VLOOKUP(A92,'Grievance Addressal'!$A:$E,5,0)),"")</f>
        <v/>
      </c>
      <c r="AS92" s="87" t="str">
        <f>IFERROR(IF(VLOOKUP(A92,Summary_Index!$A$5:$N$281,7,0)="","",VLOOKUP(A92,Summary_Index!$A$5:$N$281,7,0)),"")</f>
        <v/>
      </c>
      <c r="AT92" s="87" t="str">
        <f>IFERROR(IF(VLOOKUP(A92,Summary_Index!$A$5:$N$281,12,0)="","",VLOOKUP(A92,Summary_Index!$A$5:$N$281,12,0)),"")</f>
        <v/>
      </c>
      <c r="AU92" s="87" t="str">
        <f>IFERROR(IF(VLOOKUP(A92,Summary_Index!$A$5:$N$281,13,0)="","",VLOOKUP(A92,Summary_Index!$A$5:$N$281,13,0)),"")</f>
        <v/>
      </c>
      <c r="AV92" s="87" t="str">
        <f>IFERROR(IF(VLOOKUP(A92,Summary_Index!$A$5:$N$281,14,0)="","",VLOOKUP(A92,Summary_Index!$A$5:$N$281,14,0)),"")</f>
        <v/>
      </c>
    </row>
    <row r="93" spans="1:48" ht="45.6" customHeight="1" x14ac:dyDescent="0.3">
      <c r="A93" s="87">
        <f>Spatial!A93</f>
        <v>0</v>
      </c>
      <c r="B93" s="87">
        <f>Spatial!B93</f>
        <v>0</v>
      </c>
      <c r="C93" s="87">
        <f>Spatial!C93</f>
        <v>0</v>
      </c>
      <c r="D93" s="87">
        <f>Spatial!D93</f>
        <v>0</v>
      </c>
      <c r="E93" s="87">
        <f>Spatial!E93</f>
        <v>0</v>
      </c>
      <c r="F93" s="87">
        <f>Spatial!F93</f>
        <v>0</v>
      </c>
      <c r="G93" s="87">
        <f>IFERROR(Spatial!G93,"")</f>
        <v>0</v>
      </c>
      <c r="H93" s="37"/>
      <c r="I93" s="37"/>
      <c r="J93" s="87" t="str">
        <f>F93&amp;"_"&amp;D93</f>
        <v>0_0</v>
      </c>
      <c r="K93" s="87" t="str">
        <f>IFERROR(IF(VLOOKUP(A93,'Service Coverage'!$A:$C,3,0)="","",VLOOKUP(A93,'Service Coverage'!$A:$C,3,0)),"")</f>
        <v/>
      </c>
      <c r="L93" s="87" t="str">
        <f>IFERROR(IF(VLOOKUP(A93,'Service Coverage'!$A:$D,4,0)="","",VLOOKUP(A93,'Service Coverage'!$A:$D,4,0)),"")</f>
        <v/>
      </c>
      <c r="M93" s="87" t="str">
        <f>IFERROR(IF(VLOOKUP(A93,'Service Coverage'!$A:$E,5,0)="","",VLOOKUP(A93,'Service Coverage'!$A:$E,5,0)),"")</f>
        <v/>
      </c>
      <c r="N93" s="87" t="str">
        <f>IFERROR(IF(VLOOKUP(A93,'Service Coverage'!$A:$F,6,0)="","",VLOOKUP(A93,'Service Coverage'!$A:$F,6,0)),"")</f>
        <v/>
      </c>
      <c r="O93" s="87" t="str">
        <f>IFERROR(IF(VLOOKUP(A93,'Service Coverage'!$A:$G,7,0)="","",VLOOKUP(A93,'Service Coverage'!$A:$G,7,0)),"")</f>
        <v/>
      </c>
      <c r="P93" s="87" t="str">
        <f>IFERROR(IF(VLOOKUP(A93,Adequacy!$A:$C,3,0)="","",VLOOKUP(A93,Adequacy!$A:$C,3,0)),"")</f>
        <v/>
      </c>
      <c r="Q93" s="87" t="str">
        <f>IFERROR(IF(VLOOKUP(A93,Adequacy!$A:$D,4,0)="","",VLOOKUP(A93,Adequacy!$A:$D,4,0)),"")</f>
        <v/>
      </c>
      <c r="R93" s="87" t="str">
        <f>IFERROR(IF(VLOOKUP(A93,Adequacy!$A:$E,5,0)="","",VLOOKUP(A93,Adequacy!$A:$E,5,0)),"")</f>
        <v/>
      </c>
      <c r="S93" s="87" t="str">
        <f>IFERROR(IF(VLOOKUP(A93,Adequacy!$A:$G,7,0)="","",VLOOKUP(A93,Adequacy!$A:$G,7,0)),"")</f>
        <v/>
      </c>
      <c r="T93" s="87" t="str">
        <f>IFERROR(IF(VLOOKUP(A93,Adequacy!$A:$H,8,0)="","",VLOOKUP(A93,Adequacy!$A:$H,8,0)),"")</f>
        <v/>
      </c>
      <c r="U93" s="87" t="str">
        <f>IFERROR(IF(VLOOKUP(A93,Adequacy!$A:$J,10,0)="","",VLOOKUP(A93,Adequacy!$A:$J,10,0)),"")</f>
        <v/>
      </c>
      <c r="V93" s="87" t="str">
        <f>IFERROR(IF(VLOOKUP(A93,'Water Quality Score'!$A:$C,3,0)="","",VLOOKUP(A93,'Water Quality Score'!$A:$C,3,0)),"")</f>
        <v/>
      </c>
      <c r="W93" s="87" t="str">
        <f>IFERROR(IF(VLOOKUP(A93,'Water Quality Score'!$A:$D,4,0)="","",VLOOKUP(A93,'Water Quality Score'!$A:$D,4,0)),"")</f>
        <v/>
      </c>
      <c r="X93" s="87" t="str">
        <f>IFERROR(IF(VLOOKUP(A93,'Water Quality Score'!$A:$E,5,0)="","",VLOOKUP(A93,'Water Quality Score'!$A:$E,5,0)),"")</f>
        <v/>
      </c>
      <c r="Y93" s="87" t="str">
        <f>IFERROR(IF(VLOOKUP(A93,'Water Quality Score'!$A:$F,6,0)="","",VLOOKUP(A93,'Water Quality Score'!$A:$F,6,0)),"")</f>
        <v/>
      </c>
      <c r="Z93" s="87" t="str">
        <f>IFERROR(IF(VLOOKUP(A93,'Reliability score'!$A:$C,3,0)="","",VLOOKUP(A93,'Reliability score'!$A:$C,3,0)),"")</f>
        <v/>
      </c>
      <c r="AA93" s="87" t="str">
        <f>IFERROR(IF(VLOOKUP(A93,'Reliability score'!$A:$D,4,0)="","",VLOOKUP(A93,'Reliability score'!$A:$D,4,0)),"")</f>
        <v/>
      </c>
      <c r="AB93" s="87" t="str">
        <f>IFERROR(IF(VLOOKUP(A93,NRW!$A:$C,3,0)="","",VLOOKUP(A93,NRW!$A:$C,3,0)),"")</f>
        <v/>
      </c>
      <c r="AC93" s="37" t="str">
        <f>IFERROR(IF(VLOOKUP(A93,NRW!$A:$D,4,0)="","",VLOOKUP(A93,NRW!$A:$D,4,0)),"")</f>
        <v/>
      </c>
      <c r="AD93" s="37" t="str">
        <f>IFERROR(IF(VLOOKUP(A93,NRW!$A:$E,5,0)="","",VLOOKUP(A93,NRW!$A:$E,5,0)),"")</f>
        <v/>
      </c>
      <c r="AE93" s="37" t="str">
        <f>IFERROR(IF(VLOOKUP(A93,NRW!$A:$F,6,0)="","",VLOOKUP(A93,NRW!$A:$F,6,0)),"")</f>
        <v/>
      </c>
      <c r="AF93" s="37" t="str">
        <f>IFERROR(IF(VLOOKUP(A93,NRW!$A:$G,7,0)="","",VLOOKUP(A93,NRW!$A:$G,7,0)),"")</f>
        <v/>
      </c>
      <c r="AG93" s="37" t="str">
        <f>IFERROR(IF(OR(VLOOKUP(A93,NRW!$A:$H,8,0)="",VLOOKUP(A93,NRW!$A:$H,8,0)=0),"",VLOOKUP(A93,NRW!$A:$H,8,0)),"")</f>
        <v/>
      </c>
      <c r="AH93" s="87" t="str">
        <f>IFERROR(IF(VLOOKUP(A93,'O&amp;M score'!$A:$D,4,0)="","",VLOOKUP(A93,'O&amp;M score'!$A:$D,4,0)),"")</f>
        <v/>
      </c>
      <c r="AI93" s="87" t="str">
        <f>IFERROR(IF(VLOOKUP(A93,'O&amp;M score'!$A:$E,5,0)="","",VLOOKUP(A93,'O&amp;M score'!$A:$E,5,0)),"")</f>
        <v/>
      </c>
      <c r="AJ93" s="87" t="str">
        <f>IFERROR(IF(VLOOKUP(A93,'O&amp;M score'!$A:$F,6,0)="","",VLOOKUP(A93,'O&amp;M score'!$A:$F,6,0)),"")</f>
        <v/>
      </c>
      <c r="AK93" s="87" t="str">
        <f>IFERROR(IF(VLOOKUP(A93,'O&amp;M score'!$A:$G,7,0)="","",VLOOKUP(A93,'O&amp;M score'!$A:$G,7,0)),"")</f>
        <v/>
      </c>
      <c r="AL93" s="87" t="str">
        <f>IFERROR(IF(VLOOKUP(A93,'Metering Ratio Score'!$A:$C,3,0)="","",VLOOKUP(A93,'Metering Ratio Score'!$A:$C,3,0)),"")</f>
        <v/>
      </c>
      <c r="AM93" s="87" t="str">
        <f>IFERROR(IF(VLOOKUP(A93,'Metering Ratio Score'!$A:$D,4,0)="","",VLOOKUP(A93,'Metering Ratio Score'!$A:$D,4,0)),"")</f>
        <v/>
      </c>
      <c r="AN93" s="87" t="str">
        <f>IFERROR(IF(VLOOKUP(A93,'Metering Ratio Score'!$A:$E,5,0)="","",VLOOKUP(A93,'Metering Ratio Score'!$A:$E,5,0)),"")</f>
        <v/>
      </c>
      <c r="AO93" s="87" t="str">
        <f>IFERROR(IF(VLOOKUP(A93,'Metering Ratio Score'!$A:$F,6,0)="","",VLOOKUP(A93,'Metering Ratio Score'!$A:$F,6,0)),"")</f>
        <v/>
      </c>
      <c r="AP93" s="87" t="str">
        <f>IFERROR(IF(VLOOKUP(A93,'Grievance Addressal'!$A:$C,3,0)="","",VLOOKUP(A93,'Grievance Addressal'!$A:$C,3,0)),"")</f>
        <v/>
      </c>
      <c r="AQ93" s="87" t="str">
        <f>IFERROR(IF(VLOOKUP(A93,'Grievance Addressal'!$A:$D,4,0)="","",VLOOKUP(A93,'Grievance Addressal'!$A:$D,4,0)),"")</f>
        <v/>
      </c>
      <c r="AR93" s="87" t="str">
        <f>IFERROR(IF(VLOOKUP(A93,'Grievance Addressal'!$A:$E,5,0)="","",VLOOKUP(A93,'Grievance Addressal'!$A:$E,5,0)),"")</f>
        <v/>
      </c>
      <c r="AS93" s="87" t="str">
        <f>IFERROR(IF(VLOOKUP(A93,Summary_Index!$A$5:$N$281,7,0)="","",VLOOKUP(A93,Summary_Index!$A$5:$N$281,7,0)),"")</f>
        <v/>
      </c>
      <c r="AT93" s="87" t="str">
        <f>IFERROR(IF(VLOOKUP(A93,Summary_Index!$A$5:$N$281,12,0)="","",VLOOKUP(A93,Summary_Index!$A$5:$N$281,12,0)),"")</f>
        <v/>
      </c>
      <c r="AU93" s="87" t="str">
        <f>IFERROR(IF(VLOOKUP(A93,Summary_Index!$A$5:$N$281,13,0)="","",VLOOKUP(A93,Summary_Index!$A$5:$N$281,13,0)),"")</f>
        <v/>
      </c>
      <c r="AV93" s="87" t="str">
        <f>IFERROR(IF(VLOOKUP(A93,Summary_Index!$A$5:$N$281,14,0)="","",VLOOKUP(A93,Summary_Index!$A$5:$N$281,14,0)),"")</f>
        <v/>
      </c>
    </row>
    <row r="94" spans="1:48" ht="45.6" customHeight="1" x14ac:dyDescent="0.3">
      <c r="A94" s="87">
        <f>Spatial!A94</f>
        <v>0</v>
      </c>
      <c r="B94" s="87">
        <f>Spatial!B94</f>
        <v>0</v>
      </c>
      <c r="C94" s="87">
        <f>Spatial!C94</f>
        <v>0</v>
      </c>
      <c r="D94" s="87">
        <f>Spatial!D94</f>
        <v>0</v>
      </c>
      <c r="E94" s="87">
        <f>Spatial!E94</f>
        <v>0</v>
      </c>
      <c r="F94" s="87">
        <f>Spatial!F94</f>
        <v>0</v>
      </c>
      <c r="G94" s="87">
        <f>IFERROR(Spatial!G94,"")</f>
        <v>0</v>
      </c>
      <c r="H94" s="37"/>
      <c r="I94" s="37"/>
      <c r="J94" s="87" t="str">
        <f>F94&amp;"_"&amp;D94</f>
        <v>0_0</v>
      </c>
      <c r="K94" s="87" t="str">
        <f>IFERROR(IF(VLOOKUP(A94,'Service Coverage'!$A:$C,3,0)="","",VLOOKUP(A94,'Service Coverage'!$A:$C,3,0)),"")</f>
        <v/>
      </c>
      <c r="L94" s="87" t="str">
        <f>IFERROR(IF(VLOOKUP(A94,'Service Coverage'!$A:$D,4,0)="","",VLOOKUP(A94,'Service Coverage'!$A:$D,4,0)),"")</f>
        <v/>
      </c>
      <c r="M94" s="87" t="str">
        <f>IFERROR(IF(VLOOKUP(A94,'Service Coverage'!$A:$E,5,0)="","",VLOOKUP(A94,'Service Coverage'!$A:$E,5,0)),"")</f>
        <v/>
      </c>
      <c r="N94" s="87" t="str">
        <f>IFERROR(IF(VLOOKUP(A94,'Service Coverage'!$A:$F,6,0)="","",VLOOKUP(A94,'Service Coverage'!$A:$F,6,0)),"")</f>
        <v/>
      </c>
      <c r="O94" s="87" t="str">
        <f>IFERROR(IF(VLOOKUP(A94,'Service Coverage'!$A:$G,7,0)="","",VLOOKUP(A94,'Service Coverage'!$A:$G,7,0)),"")</f>
        <v/>
      </c>
      <c r="P94" s="87" t="str">
        <f>IFERROR(IF(VLOOKUP(A94,Adequacy!$A:$C,3,0)="","",VLOOKUP(A94,Adequacy!$A:$C,3,0)),"")</f>
        <v/>
      </c>
      <c r="Q94" s="87" t="str">
        <f>IFERROR(IF(VLOOKUP(A94,Adequacy!$A:$D,4,0)="","",VLOOKUP(A94,Adequacy!$A:$D,4,0)),"")</f>
        <v/>
      </c>
      <c r="R94" s="87" t="str">
        <f>IFERROR(IF(VLOOKUP(A94,Adequacy!$A:$E,5,0)="","",VLOOKUP(A94,Adequacy!$A:$E,5,0)),"")</f>
        <v/>
      </c>
      <c r="S94" s="87" t="str">
        <f>IFERROR(IF(VLOOKUP(A94,Adequacy!$A:$G,7,0)="","",VLOOKUP(A94,Adequacy!$A:$G,7,0)),"")</f>
        <v/>
      </c>
      <c r="T94" s="87" t="str">
        <f>IFERROR(IF(VLOOKUP(A94,Adequacy!$A:$H,8,0)="","",VLOOKUP(A94,Adequacy!$A:$H,8,0)),"")</f>
        <v/>
      </c>
      <c r="U94" s="87" t="str">
        <f>IFERROR(IF(VLOOKUP(A94,Adequacy!$A:$J,10,0)="","",VLOOKUP(A94,Adequacy!$A:$J,10,0)),"")</f>
        <v/>
      </c>
      <c r="V94" s="87" t="str">
        <f>IFERROR(IF(VLOOKUP(A94,'Water Quality Score'!$A:$C,3,0)="","",VLOOKUP(A94,'Water Quality Score'!$A:$C,3,0)),"")</f>
        <v/>
      </c>
      <c r="W94" s="87" t="str">
        <f>IFERROR(IF(VLOOKUP(A94,'Water Quality Score'!$A:$D,4,0)="","",VLOOKUP(A94,'Water Quality Score'!$A:$D,4,0)),"")</f>
        <v/>
      </c>
      <c r="X94" s="87" t="str">
        <f>IFERROR(IF(VLOOKUP(A94,'Water Quality Score'!$A:$E,5,0)="","",VLOOKUP(A94,'Water Quality Score'!$A:$E,5,0)),"")</f>
        <v/>
      </c>
      <c r="Y94" s="87" t="str">
        <f>IFERROR(IF(VLOOKUP(A94,'Water Quality Score'!$A:$F,6,0)="","",VLOOKUP(A94,'Water Quality Score'!$A:$F,6,0)),"")</f>
        <v/>
      </c>
      <c r="Z94" s="87" t="str">
        <f>IFERROR(IF(VLOOKUP(A94,'Reliability score'!$A:$C,3,0)="","",VLOOKUP(A94,'Reliability score'!$A:$C,3,0)),"")</f>
        <v/>
      </c>
      <c r="AA94" s="87" t="str">
        <f>IFERROR(IF(VLOOKUP(A94,'Reliability score'!$A:$D,4,0)="","",VLOOKUP(A94,'Reliability score'!$A:$D,4,0)),"")</f>
        <v/>
      </c>
      <c r="AB94" s="87" t="str">
        <f>IFERROR(IF(VLOOKUP(A94,NRW!$A:$C,3,0)="","",VLOOKUP(A94,NRW!$A:$C,3,0)),"")</f>
        <v/>
      </c>
      <c r="AC94" s="87" t="str">
        <f>IFERROR(IF(VLOOKUP(A94,NRW!$A:$D,4,0)="","",VLOOKUP(A94,NRW!$A:$D,4,0)),"")</f>
        <v/>
      </c>
      <c r="AD94" s="37" t="str">
        <f>IFERROR(IF(VLOOKUP(A94,NRW!$A:$E,5,0)="","",VLOOKUP(A94,NRW!$A:$E,5,0)),"")</f>
        <v/>
      </c>
      <c r="AE94" s="37" t="str">
        <f>IFERROR(IF(VLOOKUP(A94,NRW!$A:$F,6,0)="","",VLOOKUP(A94,NRW!$A:$F,6,0)),"")</f>
        <v/>
      </c>
      <c r="AF94" s="37" t="str">
        <f>IFERROR(IF(VLOOKUP(A94,NRW!$A:$G,7,0)="","",VLOOKUP(A94,NRW!$A:$G,7,0)),"")</f>
        <v/>
      </c>
      <c r="AG94" s="37" t="str">
        <f>IFERROR(IF(OR(VLOOKUP(A94,NRW!$A:$H,8,0)="",VLOOKUP(A94,NRW!$A:$H,8,0)=0),"",VLOOKUP(A94,NRW!$A:$H,8,0)),"")</f>
        <v/>
      </c>
      <c r="AH94" s="87" t="str">
        <f>IFERROR(IF(VLOOKUP(A94,'O&amp;M score'!$A:$D,4,0)="","",VLOOKUP(A94,'O&amp;M score'!$A:$D,4,0)),"")</f>
        <v/>
      </c>
      <c r="AI94" s="87" t="str">
        <f>IFERROR(IF(VLOOKUP(A94,'O&amp;M score'!$A:$E,5,0)="","",VLOOKUP(A94,'O&amp;M score'!$A:$E,5,0)),"")</f>
        <v/>
      </c>
      <c r="AJ94" s="87" t="str">
        <f>IFERROR(IF(VLOOKUP(A94,'O&amp;M score'!$A:$F,6,0)="","",VLOOKUP(A94,'O&amp;M score'!$A:$F,6,0)),"")</f>
        <v/>
      </c>
      <c r="AK94" s="87" t="str">
        <f>IFERROR(IF(VLOOKUP(A94,'O&amp;M score'!$A:$G,7,0)="","",VLOOKUP(A94,'O&amp;M score'!$A:$G,7,0)),"")</f>
        <v/>
      </c>
      <c r="AL94" s="87" t="str">
        <f>IFERROR(IF(VLOOKUP(A94,'Metering Ratio Score'!$A:$C,3,0)="","",VLOOKUP(A94,'Metering Ratio Score'!$A:$C,3,0)),"")</f>
        <v/>
      </c>
      <c r="AM94" s="87" t="str">
        <f>IFERROR(IF(VLOOKUP(A94,'Metering Ratio Score'!$A:$D,4,0)="","",VLOOKUP(A94,'Metering Ratio Score'!$A:$D,4,0)),"")</f>
        <v/>
      </c>
      <c r="AN94" s="87" t="str">
        <f>IFERROR(IF(VLOOKUP(A94,'Metering Ratio Score'!$A:$E,5,0)="","",VLOOKUP(A94,'Metering Ratio Score'!$A:$E,5,0)),"")</f>
        <v/>
      </c>
      <c r="AO94" s="87" t="str">
        <f>IFERROR(IF(VLOOKUP(A94,'Metering Ratio Score'!$A:$F,6,0)="","",VLOOKUP(A94,'Metering Ratio Score'!$A:$F,6,0)),"")</f>
        <v/>
      </c>
      <c r="AP94" s="87" t="str">
        <f>IFERROR(IF(VLOOKUP(A94,'Grievance Addressal'!$A:$C,3,0)="","",VLOOKUP(A94,'Grievance Addressal'!$A:$C,3,0)),"")</f>
        <v/>
      </c>
      <c r="AQ94" s="87" t="str">
        <f>IFERROR(IF(VLOOKUP(A94,'Grievance Addressal'!$A:$D,4,0)="","",VLOOKUP(A94,'Grievance Addressal'!$A:$D,4,0)),"")</f>
        <v/>
      </c>
      <c r="AR94" s="87" t="str">
        <f>IFERROR(IF(VLOOKUP(A94,'Grievance Addressal'!$A:$E,5,0)="","",VLOOKUP(A94,'Grievance Addressal'!$A:$E,5,0)),"")</f>
        <v/>
      </c>
      <c r="AS94" s="87" t="str">
        <f>IFERROR(IF(VLOOKUP(A94,Summary_Index!$A$5:$N$281,7,0)="","",VLOOKUP(A94,Summary_Index!$A$5:$N$281,7,0)),"")</f>
        <v/>
      </c>
      <c r="AT94" s="87" t="str">
        <f>IFERROR(IF(VLOOKUP(A94,Summary_Index!$A$5:$N$281,12,0)="","",VLOOKUP(A94,Summary_Index!$A$5:$N$281,12,0)),"")</f>
        <v/>
      </c>
      <c r="AU94" s="87" t="str">
        <f>IFERROR(IF(VLOOKUP(A94,Summary_Index!$A$5:$N$281,13,0)="","",VLOOKUP(A94,Summary_Index!$A$5:$N$281,13,0)),"")</f>
        <v/>
      </c>
      <c r="AV94" s="87" t="str">
        <f>IFERROR(IF(VLOOKUP(A94,Summary_Index!$A$5:$N$281,14,0)="","",VLOOKUP(A94,Summary_Index!$A$5:$N$281,14,0)),"")</f>
        <v/>
      </c>
    </row>
    <row r="95" spans="1:48" ht="45.6" customHeight="1" x14ac:dyDescent="0.3">
      <c r="A95" s="87">
        <f>Spatial!A95</f>
        <v>0</v>
      </c>
      <c r="B95" s="87">
        <f>Spatial!B95</f>
        <v>0</v>
      </c>
      <c r="C95" s="87">
        <f>Spatial!C95</f>
        <v>0</v>
      </c>
      <c r="D95" s="87">
        <f>Spatial!D95</f>
        <v>0</v>
      </c>
      <c r="E95" s="87">
        <f>Spatial!E95</f>
        <v>0</v>
      </c>
      <c r="F95" s="87">
        <f>Spatial!F95</f>
        <v>0</v>
      </c>
      <c r="G95" s="87">
        <f>IFERROR(Spatial!G95,"")</f>
        <v>0</v>
      </c>
      <c r="H95" s="37"/>
      <c r="I95" s="37"/>
      <c r="J95" s="87" t="str">
        <f>F95&amp;"_"&amp;D95</f>
        <v>0_0</v>
      </c>
      <c r="K95" s="87" t="str">
        <f>IFERROR(IF(VLOOKUP(A95,'Service Coverage'!$A:$C,3,0)="","",VLOOKUP(A95,'Service Coverage'!$A:$C,3,0)),"")</f>
        <v/>
      </c>
      <c r="L95" s="87" t="str">
        <f>IFERROR(IF(VLOOKUP(A95,'Service Coverage'!$A:$D,4,0)="","",VLOOKUP(A95,'Service Coverage'!$A:$D,4,0)),"")</f>
        <v/>
      </c>
      <c r="M95" s="87" t="str">
        <f>IFERROR(IF(VLOOKUP(A95,'Service Coverage'!$A:$E,5,0)="","",VLOOKUP(A95,'Service Coverage'!$A:$E,5,0)),"")</f>
        <v/>
      </c>
      <c r="N95" s="87" t="str">
        <f>IFERROR(IF(VLOOKUP(A95,'Service Coverage'!$A:$F,6,0)="","",VLOOKUP(A95,'Service Coverage'!$A:$F,6,0)),"")</f>
        <v/>
      </c>
      <c r="O95" s="87" t="str">
        <f>IFERROR(IF(VLOOKUP(A95,'Service Coverage'!$A:$G,7,0)="","",VLOOKUP(A95,'Service Coverage'!$A:$G,7,0)),"")</f>
        <v/>
      </c>
      <c r="P95" s="87" t="str">
        <f>IFERROR(IF(VLOOKUP(A95,Adequacy!$A:$C,3,0)="","",VLOOKUP(A95,Adequacy!$A:$C,3,0)),"")</f>
        <v/>
      </c>
      <c r="Q95" s="87" t="str">
        <f>IFERROR(IF(VLOOKUP(A95,Adequacy!$A:$D,4,0)="","",VLOOKUP(A95,Adequacy!$A:$D,4,0)),"")</f>
        <v/>
      </c>
      <c r="R95" s="87" t="str">
        <f>IFERROR(IF(VLOOKUP(A95,Adequacy!$A:$E,5,0)="","",VLOOKUP(A95,Adequacy!$A:$E,5,0)),"")</f>
        <v/>
      </c>
      <c r="S95" s="87" t="str">
        <f>IFERROR(IF(VLOOKUP(A95,Adequacy!$A:$G,7,0)="","",VLOOKUP(A95,Adequacy!$A:$G,7,0)),"")</f>
        <v/>
      </c>
      <c r="T95" s="87" t="str">
        <f>IFERROR(IF(VLOOKUP(A95,Adequacy!$A:$H,8,0)="","",VLOOKUP(A95,Adequacy!$A:$H,8,0)),"")</f>
        <v/>
      </c>
      <c r="U95" s="87" t="str">
        <f>IFERROR(IF(VLOOKUP(A95,Adequacy!$A:$J,10,0)="","",VLOOKUP(A95,Adequacy!$A:$J,10,0)),"")</f>
        <v/>
      </c>
      <c r="V95" s="87" t="str">
        <f>IFERROR(IF(VLOOKUP(A95,'Water Quality Score'!$A:$C,3,0)="","",VLOOKUP(A95,'Water Quality Score'!$A:$C,3,0)),"")</f>
        <v/>
      </c>
      <c r="W95" s="87" t="str">
        <f>IFERROR(IF(VLOOKUP(A95,'Water Quality Score'!$A:$D,4,0)="","",VLOOKUP(A95,'Water Quality Score'!$A:$D,4,0)),"")</f>
        <v/>
      </c>
      <c r="X95" s="87" t="str">
        <f>IFERROR(IF(VLOOKUP(A95,'Water Quality Score'!$A:$E,5,0)="","",VLOOKUP(A95,'Water Quality Score'!$A:$E,5,0)),"")</f>
        <v/>
      </c>
      <c r="Y95" s="87" t="str">
        <f>IFERROR(IF(VLOOKUP(A95,'Water Quality Score'!$A:$F,6,0)="","",VLOOKUP(A95,'Water Quality Score'!$A:$F,6,0)),"")</f>
        <v/>
      </c>
      <c r="Z95" s="87" t="str">
        <f>IFERROR(IF(VLOOKUP(A95,'Reliability score'!$A:$C,3,0)="","",VLOOKUP(A95,'Reliability score'!$A:$C,3,0)),"")</f>
        <v/>
      </c>
      <c r="AA95" s="87" t="str">
        <f>IFERROR(IF(VLOOKUP(A95,'Reliability score'!$A:$D,4,0)="","",VLOOKUP(A95,'Reliability score'!$A:$D,4,0)),"")</f>
        <v/>
      </c>
      <c r="AB95" s="87" t="str">
        <f>IFERROR(IF(VLOOKUP(A95,NRW!$A:$C,3,0)="","",VLOOKUP(A95,NRW!$A:$C,3,0)),"")</f>
        <v/>
      </c>
      <c r="AC95" s="87" t="str">
        <f>IFERROR(IF(VLOOKUP(A95,NRW!$A:$D,4,0)="","",VLOOKUP(A95,NRW!$A:$D,4,0)),"")</f>
        <v/>
      </c>
      <c r="AD95" s="87" t="str">
        <f>IFERROR(IF(VLOOKUP(A95,NRW!$A:$E,5,0)="","",VLOOKUP(A95,NRW!$A:$E,5,0)),"")</f>
        <v/>
      </c>
      <c r="AE95" s="37" t="str">
        <f>IFERROR(IF(VLOOKUP(A95,NRW!$A:$F,6,0)="","",VLOOKUP(A95,NRW!$A:$F,6,0)),"")</f>
        <v/>
      </c>
      <c r="AF95" s="87" t="str">
        <f>IFERROR(IF(VLOOKUP(A95,NRW!$A:$G,7,0)="","",VLOOKUP(A95,NRW!$A:$G,7,0)),"")</f>
        <v/>
      </c>
      <c r="AG95" s="87" t="str">
        <f>IFERROR(IF(OR(VLOOKUP(A95,NRW!$A:$H,8,0)="",VLOOKUP(A95,NRW!$A:$H,8,0)=0),"",VLOOKUP(A95,NRW!$A:$H,8,0)),"")</f>
        <v/>
      </c>
      <c r="AH95" s="87" t="str">
        <f>IFERROR(IF(VLOOKUP(A95,'O&amp;M score'!$A:$D,4,0)="","",VLOOKUP(A95,'O&amp;M score'!$A:$D,4,0)),"")</f>
        <v/>
      </c>
      <c r="AI95" s="87" t="str">
        <f>IFERROR(IF(VLOOKUP(A95,'O&amp;M score'!$A:$E,5,0)="","",VLOOKUP(A95,'O&amp;M score'!$A:$E,5,0)),"")</f>
        <v/>
      </c>
      <c r="AJ95" s="87" t="str">
        <f>IFERROR(IF(VLOOKUP(A95,'O&amp;M score'!$A:$F,6,0)="","",VLOOKUP(A95,'O&amp;M score'!$A:$F,6,0)),"")</f>
        <v/>
      </c>
      <c r="AK95" s="87" t="str">
        <f>IFERROR(IF(VLOOKUP(A95,'O&amp;M score'!$A:$G,7,0)="","",VLOOKUP(A95,'O&amp;M score'!$A:$G,7,0)),"")</f>
        <v/>
      </c>
      <c r="AL95" s="87" t="str">
        <f>IFERROR(IF(VLOOKUP(A95,'Metering Ratio Score'!$A:$C,3,0)="","",VLOOKUP(A95,'Metering Ratio Score'!$A:$C,3,0)),"")</f>
        <v/>
      </c>
      <c r="AM95" s="87" t="str">
        <f>IFERROR(IF(VLOOKUP(A95,'Metering Ratio Score'!$A:$D,4,0)="","",VLOOKUP(A95,'Metering Ratio Score'!$A:$D,4,0)),"")</f>
        <v/>
      </c>
      <c r="AN95" s="87" t="str">
        <f>IFERROR(IF(VLOOKUP(A95,'Metering Ratio Score'!$A:$E,5,0)="","",VLOOKUP(A95,'Metering Ratio Score'!$A:$E,5,0)),"")</f>
        <v/>
      </c>
      <c r="AO95" s="87" t="str">
        <f>IFERROR(IF(VLOOKUP(A95,'Metering Ratio Score'!$A:$F,6,0)="","",VLOOKUP(A95,'Metering Ratio Score'!$A:$F,6,0)),"")</f>
        <v/>
      </c>
      <c r="AP95" s="87" t="str">
        <f>IFERROR(IF(VLOOKUP(A95,'Grievance Addressal'!$A:$C,3,0)="","",VLOOKUP(A95,'Grievance Addressal'!$A:$C,3,0)),"")</f>
        <v/>
      </c>
      <c r="AQ95" s="87" t="str">
        <f>IFERROR(IF(VLOOKUP(A95,'Grievance Addressal'!$A:$D,4,0)="","",VLOOKUP(A95,'Grievance Addressal'!$A:$D,4,0)),"")</f>
        <v/>
      </c>
      <c r="AR95" s="87" t="str">
        <f>IFERROR(IF(VLOOKUP(A95,'Grievance Addressal'!$A:$E,5,0)="","",VLOOKUP(A95,'Grievance Addressal'!$A:$E,5,0)),"")</f>
        <v/>
      </c>
      <c r="AS95" s="87" t="str">
        <f>IFERROR(IF(VLOOKUP(A95,Summary_Index!$A$5:$N$281,7,0)="","",VLOOKUP(A95,Summary_Index!$A$5:$N$281,7,0)),"")</f>
        <v/>
      </c>
      <c r="AT95" s="87" t="str">
        <f>IFERROR(IF(VLOOKUP(A95,Summary_Index!$A$5:$N$281,12,0)="","",VLOOKUP(A95,Summary_Index!$A$5:$N$281,12,0)),"")</f>
        <v/>
      </c>
      <c r="AU95" s="87" t="str">
        <f>IFERROR(IF(VLOOKUP(A95,Summary_Index!$A$5:$N$281,13,0)="","",VLOOKUP(A95,Summary_Index!$A$5:$N$281,13,0)),"")</f>
        <v/>
      </c>
      <c r="AV95" s="87" t="str">
        <f>IFERROR(IF(VLOOKUP(A95,Summary_Index!$A$5:$N$281,14,0)="","",VLOOKUP(A95,Summary_Index!$A$5:$N$281,14,0)),"")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2"/>
  <sheetViews>
    <sheetView zoomScaleNormal="100" workbookViewId="0">
      <selection activeCell="E57" sqref="E57"/>
    </sheetView>
  </sheetViews>
  <sheetFormatPr defaultColWidth="8.5546875" defaultRowHeight="42.6" customHeight="1" x14ac:dyDescent="0.3"/>
  <cols>
    <col min="1" max="1" width="18" style="47" customWidth="1"/>
    <col min="2" max="2" width="19.21875" style="47" customWidth="1"/>
    <col min="3" max="5" width="18" style="47" customWidth="1"/>
    <col min="6" max="6" width="20.21875" style="47" customWidth="1"/>
    <col min="7" max="7" width="53.77734375" style="47" customWidth="1"/>
    <col min="8" max="16384" width="8.5546875" style="47"/>
  </cols>
  <sheetData>
    <row r="1" spans="1:8" ht="42.6" customHeight="1" x14ac:dyDescent="0.3">
      <c r="A1" s="42" t="s">
        <v>0</v>
      </c>
      <c r="B1" s="42" t="s">
        <v>1</v>
      </c>
      <c r="C1" s="42" t="s">
        <v>118</v>
      </c>
      <c r="D1" s="42" t="s">
        <v>119</v>
      </c>
      <c r="E1" s="42" t="s">
        <v>7</v>
      </c>
      <c r="F1" s="42" t="s">
        <v>8</v>
      </c>
      <c r="G1" s="42" t="s">
        <v>9</v>
      </c>
      <c r="H1" s="47" t="s">
        <v>303</v>
      </c>
    </row>
    <row r="2" spans="1:8" ht="42.6" customHeight="1" x14ac:dyDescent="0.3">
      <c r="A2" s="40">
        <v>1</v>
      </c>
      <c r="B2" s="40" t="s">
        <v>48</v>
      </c>
      <c r="C2" s="40" t="s">
        <v>49</v>
      </c>
      <c r="D2" s="28" t="s">
        <v>337</v>
      </c>
      <c r="E2" s="40" t="s">
        <v>51</v>
      </c>
      <c r="F2" s="40" t="s">
        <v>52</v>
      </c>
      <c r="G2" s="40"/>
      <c r="H2" s="47" t="e" cm="1" vm="1">
        <f t="array" ref="H2">_FV(tbl_Spatial[[#This Row],[District_Name]],"Name")</f>
        <v>#VALUE!</v>
      </c>
    </row>
    <row r="3" spans="1:8" ht="42.6" customHeight="1" x14ac:dyDescent="0.3">
      <c r="A3" s="41">
        <f t="shared" ref="A3:A34" si="0">A2+1</f>
        <v>2</v>
      </c>
      <c r="B3" s="41" t="s">
        <v>54</v>
      </c>
      <c r="C3" s="41" t="s">
        <v>55</v>
      </c>
      <c r="D3" s="28" t="s">
        <v>338</v>
      </c>
      <c r="E3" s="41" t="s">
        <v>51</v>
      </c>
      <c r="F3" s="41" t="s">
        <v>56</v>
      </c>
      <c r="G3" s="40" t="s">
        <v>329</v>
      </c>
      <c r="H3" s="47" t="e" cm="1" vm="1">
        <f t="array" ref="H3">_FV(tbl_Spatial[[#This Row],[District_Name]],"Name")</f>
        <v>#VALUE!</v>
      </c>
    </row>
    <row r="4" spans="1:8" ht="42.6" customHeight="1" x14ac:dyDescent="0.3">
      <c r="A4" s="41">
        <f t="shared" si="0"/>
        <v>3</v>
      </c>
      <c r="B4" s="40" t="s">
        <v>57</v>
      </c>
      <c r="C4" s="40" t="s">
        <v>49</v>
      </c>
      <c r="D4" s="28" t="s">
        <v>339</v>
      </c>
      <c r="E4" s="40" t="s">
        <v>51</v>
      </c>
      <c r="F4" s="40" t="s">
        <v>58</v>
      </c>
      <c r="G4" s="40" t="s">
        <v>59</v>
      </c>
      <c r="H4" s="47" t="e" cm="1" vm="1">
        <f t="array" ref="H4">_FV(tbl_Spatial[[#This Row],[District_Name]],"Name")</f>
        <v>#VALUE!</v>
      </c>
    </row>
    <row r="5" spans="1:8" ht="42.6" customHeight="1" x14ac:dyDescent="0.3">
      <c r="A5" s="41">
        <f t="shared" si="0"/>
        <v>4</v>
      </c>
      <c r="B5" s="41" t="s">
        <v>61</v>
      </c>
      <c r="C5" s="41" t="s">
        <v>55</v>
      </c>
      <c r="D5" s="28" t="s">
        <v>340</v>
      </c>
      <c r="E5" s="41" t="s">
        <v>62</v>
      </c>
      <c r="F5" s="41" t="s">
        <v>63</v>
      </c>
      <c r="G5" s="40"/>
      <c r="H5" s="47" t="e" cm="1" vm="1">
        <f t="array" ref="H5">_FV(tbl_Spatial[[#This Row],[District_Name]],"Name")</f>
        <v>#VALUE!</v>
      </c>
    </row>
    <row r="6" spans="1:8" ht="42.6" customHeight="1" x14ac:dyDescent="0.3">
      <c r="A6" s="41">
        <f t="shared" si="0"/>
        <v>5</v>
      </c>
      <c r="B6" s="40" t="s">
        <v>64</v>
      </c>
      <c r="C6" s="40" t="s">
        <v>55</v>
      </c>
      <c r="D6" s="28" t="s">
        <v>341</v>
      </c>
      <c r="E6" s="40" t="s">
        <v>51</v>
      </c>
      <c r="F6" s="40" t="s">
        <v>65</v>
      </c>
      <c r="G6" s="40"/>
      <c r="H6" s="47" t="e" cm="1" vm="1">
        <f t="array" ref="H6">_FV(tbl_Spatial[[#This Row],[District_Name]],"Name")</f>
        <v>#VALUE!</v>
      </c>
    </row>
    <row r="7" spans="1:8" ht="42.6" customHeight="1" x14ac:dyDescent="0.3">
      <c r="A7" s="41">
        <f t="shared" si="0"/>
        <v>6</v>
      </c>
      <c r="B7" s="47" t="s">
        <v>66</v>
      </c>
      <c r="C7" s="47" t="s">
        <v>49</v>
      </c>
      <c r="D7" s="28" t="s">
        <v>67</v>
      </c>
      <c r="E7" s="47" t="s">
        <v>51</v>
      </c>
      <c r="F7" s="47" t="s">
        <v>68</v>
      </c>
      <c r="H7" s="47" t="e" cm="1" vm="1">
        <f t="array" ref="H7">_FV(tbl_Spatial[[#This Row],[District_Name]],"Name")</f>
        <v>#VALUE!</v>
      </c>
    </row>
    <row r="8" spans="1:8" ht="42.6" customHeight="1" x14ac:dyDescent="0.3">
      <c r="A8" s="41">
        <f t="shared" si="0"/>
        <v>7</v>
      </c>
      <c r="B8" s="47" t="s">
        <v>69</v>
      </c>
      <c r="C8" s="47" t="s">
        <v>70</v>
      </c>
      <c r="D8" s="28" t="s">
        <v>342</v>
      </c>
      <c r="E8" s="47" t="s">
        <v>51</v>
      </c>
      <c r="F8" s="47" t="s">
        <v>71</v>
      </c>
      <c r="G8" s="47" t="s">
        <v>72</v>
      </c>
      <c r="H8" s="47" t="e" cm="1" vm="1">
        <f t="array" ref="H8">_FV(tbl_Spatial[[#This Row],[District_Name]],"Name")</f>
        <v>#VALUE!</v>
      </c>
    </row>
    <row r="9" spans="1:8" ht="42.6" customHeight="1" x14ac:dyDescent="0.3">
      <c r="A9" s="41">
        <f t="shared" si="0"/>
        <v>8</v>
      </c>
      <c r="B9" s="47" t="s">
        <v>73</v>
      </c>
      <c r="C9" s="47" t="s">
        <v>49</v>
      </c>
      <c r="D9" s="28" t="s">
        <v>343</v>
      </c>
      <c r="E9" s="47" t="s">
        <v>51</v>
      </c>
      <c r="F9" s="47" t="s">
        <v>74</v>
      </c>
      <c r="H9" s="47" t="e" cm="1" vm="1">
        <f t="array" ref="H9">_FV(tbl_Spatial[[#This Row],[District_Name]],"Name")</f>
        <v>#VALUE!</v>
      </c>
    </row>
    <row r="10" spans="1:8" ht="42.6" customHeight="1" x14ac:dyDescent="0.3">
      <c r="A10" s="41">
        <f t="shared" si="0"/>
        <v>9</v>
      </c>
      <c r="B10" s="47" t="s">
        <v>75</v>
      </c>
      <c r="C10" s="47" t="s">
        <v>70</v>
      </c>
      <c r="D10" s="28" t="s">
        <v>344</v>
      </c>
      <c r="E10" s="47" t="s">
        <v>62</v>
      </c>
      <c r="F10" s="47" t="s">
        <v>76</v>
      </c>
      <c r="G10" s="40" t="s">
        <v>77</v>
      </c>
      <c r="H10" s="47" t="e" cm="1" vm="1">
        <f t="array" ref="H10">_FV(tbl_Spatial[[#This Row],[District_Name]],"Name")</f>
        <v>#VALUE!</v>
      </c>
    </row>
    <row r="11" spans="1:8" ht="42.6" customHeight="1" x14ac:dyDescent="0.3">
      <c r="A11" s="41">
        <f t="shared" si="0"/>
        <v>10</v>
      </c>
      <c r="B11" s="47" t="s">
        <v>78</v>
      </c>
      <c r="C11" s="47" t="s">
        <v>70</v>
      </c>
      <c r="D11" s="28" t="s">
        <v>345</v>
      </c>
      <c r="E11" s="47" t="s">
        <v>51</v>
      </c>
      <c r="F11" s="47" t="s">
        <v>79</v>
      </c>
      <c r="H11" s="47" t="e" cm="1" vm="1">
        <f t="array" ref="H11">_FV(tbl_Spatial[[#This Row],[District_Name]],"Name")</f>
        <v>#VALUE!</v>
      </c>
    </row>
    <row r="12" spans="1:8" ht="42.6" customHeight="1" x14ac:dyDescent="0.3">
      <c r="A12" s="41">
        <f t="shared" si="0"/>
        <v>11</v>
      </c>
      <c r="B12" s="47" t="s">
        <v>80</v>
      </c>
      <c r="C12" s="47" t="s">
        <v>55</v>
      </c>
      <c r="D12" s="28" t="s">
        <v>339</v>
      </c>
      <c r="E12" s="47" t="s">
        <v>51</v>
      </c>
      <c r="F12" s="47" t="s">
        <v>81</v>
      </c>
      <c r="H12" s="47" t="e" cm="1" vm="1">
        <f t="array" ref="H12">_FV(tbl_Spatial[[#This Row],[District_Name]],"Name")</f>
        <v>#VALUE!</v>
      </c>
    </row>
    <row r="13" spans="1:8" ht="42.6" customHeight="1" x14ac:dyDescent="0.3">
      <c r="A13" s="41">
        <f t="shared" si="0"/>
        <v>12</v>
      </c>
      <c r="B13" s="47" t="s">
        <v>82</v>
      </c>
      <c r="C13" s="47" t="s">
        <v>55</v>
      </c>
      <c r="D13" s="28" t="s">
        <v>339</v>
      </c>
      <c r="E13" s="47" t="s">
        <v>51</v>
      </c>
      <c r="F13" s="47" t="s">
        <v>83</v>
      </c>
      <c r="H13" s="47" t="e" cm="1" vm="1">
        <f t="array" ref="H13">_FV(tbl_Spatial[[#This Row],[District_Name]],"Name")</f>
        <v>#VALUE!</v>
      </c>
    </row>
    <row r="14" spans="1:8" ht="42.6" customHeight="1" x14ac:dyDescent="0.3">
      <c r="A14" s="41">
        <f t="shared" si="0"/>
        <v>13</v>
      </c>
      <c r="B14" s="47" t="s">
        <v>84</v>
      </c>
      <c r="D14" s="28" t="s">
        <v>339</v>
      </c>
      <c r="E14" s="47" t="s">
        <v>51</v>
      </c>
      <c r="F14" s="47" t="s">
        <v>85</v>
      </c>
      <c r="H14" s="47" t="e" cm="1" vm="1">
        <f t="array" ref="H14">_FV(tbl_Spatial[[#This Row],[District_Name]],"Name")</f>
        <v>#VALUE!</v>
      </c>
    </row>
    <row r="15" spans="1:8" ht="42.6" customHeight="1" x14ac:dyDescent="0.3">
      <c r="A15" s="41">
        <f t="shared" si="0"/>
        <v>14</v>
      </c>
      <c r="B15" s="47" t="s">
        <v>86</v>
      </c>
      <c r="C15" s="47" t="s">
        <v>49</v>
      </c>
      <c r="D15" s="28" t="s">
        <v>339</v>
      </c>
      <c r="E15" s="47" t="s">
        <v>51</v>
      </c>
      <c r="F15" s="47" t="s">
        <v>87</v>
      </c>
      <c r="H15" s="47" t="e" cm="1" vm="1">
        <f t="array" ref="H15">_FV(tbl_Spatial[[#This Row],[District_Name]],"Name")</f>
        <v>#VALUE!</v>
      </c>
    </row>
    <row r="16" spans="1:8" ht="42.6" customHeight="1" x14ac:dyDescent="0.3">
      <c r="A16" s="41">
        <f t="shared" si="0"/>
        <v>15</v>
      </c>
      <c r="B16" s="47" t="s">
        <v>88</v>
      </c>
      <c r="C16" s="47" t="s">
        <v>49</v>
      </c>
      <c r="D16" s="28" t="s">
        <v>339</v>
      </c>
      <c r="E16" s="47" t="s">
        <v>62</v>
      </c>
      <c r="F16" s="47" t="s">
        <v>89</v>
      </c>
      <c r="H16" s="47" t="e" cm="1" vm="1">
        <f t="array" ref="H16">_FV(tbl_Spatial[[#This Row],[District_Name]],"Name")</f>
        <v>#VALUE!</v>
      </c>
    </row>
    <row r="17" spans="1:8" ht="42.6" customHeight="1" x14ac:dyDescent="0.3">
      <c r="A17" s="41">
        <f t="shared" si="0"/>
        <v>16</v>
      </c>
      <c r="B17" s="47" t="s">
        <v>90</v>
      </c>
      <c r="C17" s="47" t="s">
        <v>49</v>
      </c>
      <c r="D17" s="28" t="s">
        <v>339</v>
      </c>
      <c r="E17" s="47" t="s">
        <v>62</v>
      </c>
      <c r="F17" s="47" t="s">
        <v>89</v>
      </c>
      <c r="H17" s="47" t="e" cm="1" vm="1">
        <f t="array" ref="H17">_FV(tbl_Spatial[[#This Row],[District_Name]],"Name")</f>
        <v>#VALUE!</v>
      </c>
    </row>
    <row r="18" spans="1:8" ht="42.6" customHeight="1" x14ac:dyDescent="0.3">
      <c r="A18" s="41">
        <f t="shared" si="0"/>
        <v>17</v>
      </c>
      <c r="B18" s="47" t="s">
        <v>91</v>
      </c>
      <c r="C18" s="47" t="s">
        <v>49</v>
      </c>
      <c r="D18" s="28" t="s">
        <v>339</v>
      </c>
      <c r="E18" s="47" t="s">
        <v>62</v>
      </c>
      <c r="F18" s="47" t="s">
        <v>89</v>
      </c>
      <c r="H18" s="47" t="e" cm="1" vm="1">
        <f t="array" ref="H18">_FV(tbl_Spatial[[#This Row],[District_Name]],"Name")</f>
        <v>#VALUE!</v>
      </c>
    </row>
    <row r="19" spans="1:8" ht="42.6" customHeight="1" x14ac:dyDescent="0.3">
      <c r="A19" s="41">
        <f t="shared" si="0"/>
        <v>18</v>
      </c>
      <c r="B19" s="47" t="s">
        <v>92</v>
      </c>
      <c r="C19" s="47" t="s">
        <v>49</v>
      </c>
      <c r="D19" s="28" t="s">
        <v>339</v>
      </c>
      <c r="E19" s="47" t="s">
        <v>62</v>
      </c>
      <c r="F19" s="47" t="s">
        <v>89</v>
      </c>
      <c r="H19" s="47" t="e" cm="1" vm="1">
        <f t="array" ref="H19">_FV(tbl_Spatial[[#This Row],[District_Name]],"Name")</f>
        <v>#VALUE!</v>
      </c>
    </row>
    <row r="20" spans="1:8" ht="42.6" customHeight="1" x14ac:dyDescent="0.3">
      <c r="A20" s="41">
        <f t="shared" si="0"/>
        <v>19</v>
      </c>
      <c r="B20" s="47" t="s">
        <v>93</v>
      </c>
      <c r="C20" s="47" t="s">
        <v>49</v>
      </c>
      <c r="D20" s="28" t="s">
        <v>339</v>
      </c>
      <c r="E20" s="47" t="s">
        <v>51</v>
      </c>
      <c r="F20" s="47" t="s">
        <v>58</v>
      </c>
      <c r="H20" s="47" t="e" cm="1" vm="1">
        <f t="array" ref="H20">_FV(tbl_Spatial[[#This Row],[District_Name]],"Name")</f>
        <v>#VALUE!</v>
      </c>
    </row>
    <row r="21" spans="1:8" ht="42.6" customHeight="1" x14ac:dyDescent="0.3">
      <c r="A21" s="41">
        <f t="shared" si="0"/>
        <v>20</v>
      </c>
      <c r="B21" s="47" t="s">
        <v>94</v>
      </c>
      <c r="C21" s="47" t="s">
        <v>49</v>
      </c>
      <c r="D21" s="28" t="s">
        <v>339</v>
      </c>
      <c r="E21" s="47" t="s">
        <v>51</v>
      </c>
      <c r="F21" s="47" t="s">
        <v>95</v>
      </c>
      <c r="H21" s="47" t="e" cm="1" vm="1">
        <f t="array" ref="H21">_FV(tbl_Spatial[[#This Row],[District_Name]],"Name")</f>
        <v>#VALUE!</v>
      </c>
    </row>
    <row r="22" spans="1:8" ht="42.6" customHeight="1" x14ac:dyDescent="0.3">
      <c r="A22" s="41">
        <f t="shared" si="0"/>
        <v>21</v>
      </c>
      <c r="B22" s="47" t="s">
        <v>96</v>
      </c>
      <c r="C22" s="47" t="s">
        <v>49</v>
      </c>
      <c r="D22" s="28" t="s">
        <v>339</v>
      </c>
      <c r="E22" s="47" t="s">
        <v>62</v>
      </c>
      <c r="F22" s="47" t="s">
        <v>89</v>
      </c>
      <c r="H22" s="47" t="e" cm="1" vm="1">
        <f t="array" ref="H22">_FV(tbl_Spatial[[#This Row],[District_Name]],"Name")</f>
        <v>#VALUE!</v>
      </c>
    </row>
    <row r="23" spans="1:8" ht="42.6" customHeight="1" x14ac:dyDescent="0.3">
      <c r="A23" s="41">
        <f t="shared" si="0"/>
        <v>22</v>
      </c>
      <c r="B23" s="47" t="s">
        <v>97</v>
      </c>
      <c r="C23" s="47" t="s">
        <v>49</v>
      </c>
      <c r="D23" s="28" t="s">
        <v>346</v>
      </c>
      <c r="E23" s="47" t="s">
        <v>51</v>
      </c>
      <c r="F23" s="47" t="s">
        <v>98</v>
      </c>
      <c r="H23" s="47" t="e" cm="1" vm="1">
        <f t="array" ref="H23">_FV(tbl_Spatial[[#This Row],[District_Name]],"Name")</f>
        <v>#VALUE!</v>
      </c>
    </row>
    <row r="24" spans="1:8" ht="42.6" customHeight="1" x14ac:dyDescent="0.3">
      <c r="A24" s="41">
        <f t="shared" si="0"/>
        <v>23</v>
      </c>
      <c r="B24" s="47" t="s">
        <v>99</v>
      </c>
      <c r="C24" s="47" t="s">
        <v>49</v>
      </c>
      <c r="D24" s="28" t="s">
        <v>346</v>
      </c>
      <c r="E24" s="47" t="s">
        <v>51</v>
      </c>
      <c r="F24" s="47" t="s">
        <v>98</v>
      </c>
      <c r="H24" s="47" t="e" cm="1" vm="1">
        <f t="array" ref="H24">_FV(tbl_Spatial[[#This Row],[District_Name]],"Name")</f>
        <v>#VALUE!</v>
      </c>
    </row>
    <row r="25" spans="1:8" ht="42.6" customHeight="1" x14ac:dyDescent="0.3">
      <c r="A25" s="41">
        <f t="shared" si="0"/>
        <v>24</v>
      </c>
      <c r="B25" s="47" t="s">
        <v>100</v>
      </c>
      <c r="C25" s="47" t="s">
        <v>49</v>
      </c>
      <c r="D25" s="28" t="s">
        <v>347</v>
      </c>
      <c r="E25" s="47" t="s">
        <v>101</v>
      </c>
      <c r="F25" s="47" t="s">
        <v>102</v>
      </c>
      <c r="H25" s="47" t="e" cm="1" vm="1">
        <f t="array" ref="H25">_FV(tbl_Spatial[[#This Row],[District_Name]],"Name")</f>
        <v>#VALUE!</v>
      </c>
    </row>
    <row r="26" spans="1:8" ht="42.6" customHeight="1" x14ac:dyDescent="0.3">
      <c r="A26" s="41">
        <f t="shared" si="0"/>
        <v>25</v>
      </c>
      <c r="B26" s="47" t="s">
        <v>103</v>
      </c>
      <c r="C26" s="47" t="s">
        <v>49</v>
      </c>
      <c r="D26" s="28" t="s">
        <v>347</v>
      </c>
      <c r="E26" s="47" t="s">
        <v>101</v>
      </c>
      <c r="F26" s="47" t="s">
        <v>104</v>
      </c>
      <c r="H26" s="47" t="e" cm="1" vm="1">
        <f t="array" ref="H26">_FV(tbl_Spatial[[#This Row],[District_Name]],"Name")</f>
        <v>#VALUE!</v>
      </c>
    </row>
    <row r="27" spans="1:8" ht="42.6" customHeight="1" x14ac:dyDescent="0.3">
      <c r="A27" s="41">
        <f t="shared" si="0"/>
        <v>26</v>
      </c>
      <c r="B27" s="47" t="s">
        <v>105</v>
      </c>
      <c r="C27" s="47" t="s">
        <v>49</v>
      </c>
      <c r="D27" s="28" t="s">
        <v>347</v>
      </c>
      <c r="E27" s="47" t="s">
        <v>101</v>
      </c>
      <c r="F27" s="47" t="s">
        <v>106</v>
      </c>
      <c r="H27" s="47" t="e" cm="1" vm="1">
        <f t="array" ref="H27">_FV(tbl_Spatial[[#This Row],[District_Name]],"Name")</f>
        <v>#VALUE!</v>
      </c>
    </row>
    <row r="28" spans="1:8" ht="42.6" customHeight="1" x14ac:dyDescent="0.3">
      <c r="A28" s="41">
        <f t="shared" si="0"/>
        <v>27</v>
      </c>
      <c r="B28" s="47" t="s">
        <v>107</v>
      </c>
      <c r="C28" s="47" t="s">
        <v>108</v>
      </c>
      <c r="D28" s="28" t="s">
        <v>348</v>
      </c>
      <c r="E28" s="47" t="s">
        <v>51</v>
      </c>
      <c r="F28" s="47" t="s">
        <v>109</v>
      </c>
      <c r="H28" s="47" t="e" cm="1" vm="1">
        <f t="array" ref="H28">_FV(tbl_Spatial[[#This Row],[District_Name]],"Name")</f>
        <v>#VALUE!</v>
      </c>
    </row>
    <row r="29" spans="1:8" ht="42.6" customHeight="1" x14ac:dyDescent="0.3">
      <c r="A29" s="41">
        <f t="shared" si="0"/>
        <v>28</v>
      </c>
      <c r="B29" s="47" t="s">
        <v>110</v>
      </c>
      <c r="C29" s="47" t="s">
        <v>49</v>
      </c>
      <c r="D29" s="28" t="s">
        <v>343</v>
      </c>
      <c r="E29" s="47" t="s">
        <v>51</v>
      </c>
      <c r="F29" s="47" t="s">
        <v>74</v>
      </c>
      <c r="H29" s="47" t="e" cm="1" vm="1">
        <f t="array" ref="H29">_FV(tbl_Spatial[[#This Row],[District_Name]],"Name")</f>
        <v>#VALUE!</v>
      </c>
    </row>
    <row r="30" spans="1:8" ht="42.6" customHeight="1" x14ac:dyDescent="0.3">
      <c r="A30" s="41">
        <f t="shared" si="0"/>
        <v>29</v>
      </c>
      <c r="B30" s="47" t="s">
        <v>111</v>
      </c>
      <c r="C30" s="47" t="s">
        <v>49</v>
      </c>
      <c r="D30" s="28" t="s">
        <v>67</v>
      </c>
      <c r="E30" s="47" t="s">
        <v>51</v>
      </c>
      <c r="F30" s="47" t="s">
        <v>68</v>
      </c>
      <c r="H30" s="47" t="e" cm="1" vm="1">
        <f t="array" ref="H30">_FV(tbl_Spatial[[#This Row],[District_Name]],"Name")</f>
        <v>#VALUE!</v>
      </c>
    </row>
    <row r="31" spans="1:8" ht="42.6" customHeight="1" x14ac:dyDescent="0.3">
      <c r="A31" s="41">
        <f t="shared" si="0"/>
        <v>30</v>
      </c>
      <c r="B31" s="47" t="s">
        <v>84</v>
      </c>
      <c r="D31" s="28" t="s">
        <v>349</v>
      </c>
      <c r="E31" s="47" t="s">
        <v>51</v>
      </c>
      <c r="F31" s="47" t="s">
        <v>112</v>
      </c>
      <c r="H31" s="47" t="e" cm="1" vm="1">
        <f t="array" ref="H31">_FV(tbl_Spatial[[#This Row],[District_Name]],"Name")</f>
        <v>#VALUE!</v>
      </c>
    </row>
    <row r="32" spans="1:8" ht="42.6" customHeight="1" x14ac:dyDescent="0.3">
      <c r="A32" s="41">
        <f t="shared" si="0"/>
        <v>31</v>
      </c>
      <c r="B32" s="47" t="s">
        <v>113</v>
      </c>
      <c r="D32" s="28"/>
      <c r="E32" s="47" t="s">
        <v>51</v>
      </c>
      <c r="F32" s="47" t="s">
        <v>114</v>
      </c>
      <c r="H32" s="47" t="e" cm="1" vm="1">
        <f t="array" ref="H32">_FV(tbl_Spatial[[#This Row],[District_Name]],"Name")</f>
        <v>#VALUE!</v>
      </c>
    </row>
    <row r="33" spans="1:8" ht="42.6" customHeight="1" x14ac:dyDescent="0.3">
      <c r="A33" s="41">
        <f t="shared" si="0"/>
        <v>32</v>
      </c>
      <c r="B33" s="47" t="s">
        <v>115</v>
      </c>
      <c r="D33" s="28"/>
      <c r="H33" s="47" t="e" cm="1" vm="1">
        <f t="array" ref="H33">_FV(tbl_Spatial[[#This Row],[District_Name]],"Name")</f>
        <v>#VALUE!</v>
      </c>
    </row>
    <row r="34" spans="1:8" ht="42.6" customHeight="1" x14ac:dyDescent="0.3">
      <c r="A34" s="41">
        <f t="shared" si="0"/>
        <v>33</v>
      </c>
      <c r="B34" s="47" t="s">
        <v>116</v>
      </c>
      <c r="D34" s="28" t="s">
        <v>338</v>
      </c>
      <c r="H34" s="47" t="e" cm="1" vm="1">
        <f t="array" ref="H34">_FV(tbl_Spatial[[#This Row],[District_Name]],"Name")</f>
        <v>#VALUE!</v>
      </c>
    </row>
    <row r="35" spans="1:8" ht="42.6" customHeight="1" x14ac:dyDescent="0.3">
      <c r="A35" s="41">
        <f t="shared" ref="A35:A66" si="1">A34+1</f>
        <v>34</v>
      </c>
      <c r="B35" s="47" t="s">
        <v>117</v>
      </c>
      <c r="D35" s="28"/>
      <c r="E35" s="47" t="s">
        <v>51</v>
      </c>
      <c r="F35" s="47" t="s">
        <v>120</v>
      </c>
      <c r="H35" s="47" t="e" cm="1" vm="1">
        <f t="array" ref="H35">_FV(tbl_Spatial[[#This Row],[District_Name]],"Name")</f>
        <v>#VALUE!</v>
      </c>
    </row>
    <row r="36" spans="1:8" ht="42.6" customHeight="1" x14ac:dyDescent="0.3">
      <c r="A36" s="41">
        <f t="shared" si="1"/>
        <v>35</v>
      </c>
      <c r="B36" s="47" t="s">
        <v>283</v>
      </c>
      <c r="C36" s="47" t="s">
        <v>284</v>
      </c>
      <c r="D36" s="28" t="s">
        <v>350</v>
      </c>
      <c r="E36" s="47" t="s">
        <v>101</v>
      </c>
      <c r="F36" s="47" t="s">
        <v>285</v>
      </c>
      <c r="G36" s="47" t="s">
        <v>286</v>
      </c>
      <c r="H36" s="47" t="e" cm="1" vm="1">
        <f t="array" ref="H36">_FV(tbl_Spatial[[#This Row],[District_Name]],"Name")</f>
        <v>#VALUE!</v>
      </c>
    </row>
    <row r="37" spans="1:8" ht="42.6" customHeight="1" x14ac:dyDescent="0.3">
      <c r="A37" s="41">
        <f t="shared" si="1"/>
        <v>36</v>
      </c>
      <c r="B37" s="47" t="s">
        <v>291</v>
      </c>
      <c r="C37" s="47" t="s">
        <v>284</v>
      </c>
      <c r="D37" s="28" t="s">
        <v>350</v>
      </c>
      <c r="E37" s="47" t="s">
        <v>51</v>
      </c>
      <c r="F37" s="47" t="s">
        <v>292</v>
      </c>
      <c r="G37" s="47" t="s">
        <v>293</v>
      </c>
      <c r="H37" s="47" t="e" cm="1" vm="1">
        <f t="array" ref="H37">_FV(tbl_Spatial[[#This Row],[District_Name]],"Name")</f>
        <v>#VALUE!</v>
      </c>
    </row>
    <row r="38" spans="1:8" ht="42.6" customHeight="1" x14ac:dyDescent="0.3">
      <c r="A38" s="41">
        <f t="shared" si="1"/>
        <v>37</v>
      </c>
      <c r="B38" s="47" t="s">
        <v>296</v>
      </c>
      <c r="C38" s="47" t="s">
        <v>284</v>
      </c>
      <c r="D38" s="28" t="s">
        <v>351</v>
      </c>
      <c r="E38" s="47" t="s">
        <v>51</v>
      </c>
      <c r="F38" s="47" t="s">
        <v>294</v>
      </c>
      <c r="G38" s="47" t="s">
        <v>295</v>
      </c>
      <c r="H38" s="47" t="e" cm="1" vm="1">
        <f t="array" ref="H38">_FV(tbl_Spatial[[#This Row],[District_Name]],"Name")</f>
        <v>#VALUE!</v>
      </c>
    </row>
    <row r="39" spans="1:8" ht="42.6" customHeight="1" x14ac:dyDescent="0.3">
      <c r="A39" s="41">
        <f t="shared" si="1"/>
        <v>38</v>
      </c>
      <c r="B39" s="28" t="s">
        <v>297</v>
      </c>
      <c r="C39" s="47" t="s">
        <v>284</v>
      </c>
      <c r="D39" s="28" t="s">
        <v>352</v>
      </c>
      <c r="E39" s="47" t="s">
        <v>51</v>
      </c>
      <c r="F39" s="47" t="s">
        <v>298</v>
      </c>
      <c r="G39" s="47" t="s">
        <v>299</v>
      </c>
      <c r="H39" s="47" t="e" cm="1" vm="1">
        <f t="array" ref="H39">_FV(tbl_Spatial[[#This Row],[District_Name]],"Name")</f>
        <v>#VALUE!</v>
      </c>
    </row>
    <row r="40" spans="1:8" ht="42.6" customHeight="1" x14ac:dyDescent="0.3">
      <c r="A40" s="41">
        <f t="shared" si="1"/>
        <v>39</v>
      </c>
      <c r="B40" s="47" t="s">
        <v>300</v>
      </c>
      <c r="C40" s="47" t="s">
        <v>284</v>
      </c>
      <c r="D40" s="28" t="s">
        <v>353</v>
      </c>
      <c r="E40" s="47" t="s">
        <v>51</v>
      </c>
      <c r="F40" s="47" t="s">
        <v>301</v>
      </c>
      <c r="G40" s="47" t="s">
        <v>302</v>
      </c>
      <c r="H40" s="47" t="e" cm="1" vm="1">
        <f t="array" ref="H40">_FV(tbl_Spatial[[#This Row],[District_Name]],"Name")</f>
        <v>#VALUE!</v>
      </c>
    </row>
    <row r="41" spans="1:8" ht="42.6" customHeight="1" x14ac:dyDescent="0.3">
      <c r="A41" s="41">
        <f t="shared" si="1"/>
        <v>40</v>
      </c>
      <c r="B41" s="47" t="s">
        <v>306</v>
      </c>
      <c r="C41" s="47" t="s">
        <v>284</v>
      </c>
      <c r="D41" s="28" t="s">
        <v>354</v>
      </c>
      <c r="E41" s="47" t="s">
        <v>51</v>
      </c>
      <c r="F41" s="47" t="s">
        <v>304</v>
      </c>
      <c r="G41" s="47" t="s">
        <v>305</v>
      </c>
      <c r="H41" s="47" t="e" cm="1" vm="1">
        <f t="array" ref="H41">_FV(tbl_Spatial[[#This Row],[District_Name]],"Name")</f>
        <v>#VALUE!</v>
      </c>
    </row>
    <row r="42" spans="1:8" ht="42.6" customHeight="1" x14ac:dyDescent="0.3">
      <c r="A42" s="41">
        <f t="shared" si="1"/>
        <v>41</v>
      </c>
      <c r="B42" s="47" t="s">
        <v>308</v>
      </c>
      <c r="C42" s="47" t="s">
        <v>284</v>
      </c>
      <c r="D42" s="28" t="s">
        <v>349</v>
      </c>
      <c r="E42" s="47" t="s">
        <v>51</v>
      </c>
      <c r="F42" s="55" t="s">
        <v>309</v>
      </c>
      <c r="G42" s="47" t="s">
        <v>310</v>
      </c>
      <c r="H42" s="47" t="e" cm="1" vm="1">
        <f t="array" ref="H42">_FV(tbl_Spatial[[#This Row],[District_Name]],"Name")</f>
        <v>#VALUE!</v>
      </c>
    </row>
    <row r="43" spans="1:8" ht="42.6" customHeight="1" x14ac:dyDescent="0.3">
      <c r="A43" s="41">
        <f t="shared" si="1"/>
        <v>42</v>
      </c>
      <c r="B43" s="47" t="s">
        <v>311</v>
      </c>
      <c r="C43" s="47" t="s">
        <v>284</v>
      </c>
      <c r="D43" s="28" t="s">
        <v>312</v>
      </c>
      <c r="E43" s="47" t="s">
        <v>51</v>
      </c>
      <c r="F43" s="47" t="s">
        <v>313</v>
      </c>
      <c r="G43" s="47" t="s">
        <v>295</v>
      </c>
      <c r="H43" s="47" t="e" cm="1" vm="1">
        <f t="array" ref="H43">_FV(tbl_Spatial[[#This Row],[District_Name]],"Name")</f>
        <v>#VALUE!</v>
      </c>
    </row>
    <row r="44" spans="1:8" ht="42.6" customHeight="1" x14ac:dyDescent="0.3">
      <c r="A44" s="41">
        <f t="shared" si="1"/>
        <v>43</v>
      </c>
      <c r="B44" s="47" t="s">
        <v>315</v>
      </c>
      <c r="C44" s="47" t="s">
        <v>316</v>
      </c>
      <c r="D44" s="28" t="s">
        <v>355</v>
      </c>
      <c r="E44" s="47" t="s">
        <v>51</v>
      </c>
      <c r="F44" s="47" t="s">
        <v>317</v>
      </c>
      <c r="G44" s="47" t="s">
        <v>318</v>
      </c>
      <c r="H44" s="47" t="e" cm="1" vm="1">
        <f t="array" ref="H44">_FV(tbl_Spatial[[#This Row],[District_Name]],"Name")</f>
        <v>#VALUE!</v>
      </c>
    </row>
    <row r="45" spans="1:8" ht="42.6" customHeight="1" x14ac:dyDescent="0.3">
      <c r="A45" s="41">
        <f t="shared" si="1"/>
        <v>44</v>
      </c>
      <c r="B45" s="47" t="s">
        <v>319</v>
      </c>
      <c r="C45" s="47" t="s">
        <v>49</v>
      </c>
      <c r="D45" s="28" t="s">
        <v>320</v>
      </c>
      <c r="E45" s="47" t="s">
        <v>51</v>
      </c>
      <c r="F45" s="47" t="s">
        <v>321</v>
      </c>
      <c r="G45" s="47">
        <v>1</v>
      </c>
      <c r="H45" s="47" t="e" cm="1" vm="1">
        <f t="array" ref="H45">_FV(tbl_Spatial[[#This Row],[District_Name]],"Name")</f>
        <v>#VALUE!</v>
      </c>
    </row>
    <row r="46" spans="1:8" ht="42.6" customHeight="1" x14ac:dyDescent="0.3">
      <c r="A46" s="41">
        <f t="shared" si="1"/>
        <v>45</v>
      </c>
      <c r="B46" s="47" t="s">
        <v>322</v>
      </c>
      <c r="C46" s="47" t="s">
        <v>49</v>
      </c>
      <c r="D46" s="28" t="s">
        <v>323</v>
      </c>
      <c r="E46" s="47" t="s">
        <v>51</v>
      </c>
      <c r="F46" s="47" t="s">
        <v>324</v>
      </c>
      <c r="G46" s="47">
        <v>1</v>
      </c>
      <c r="H46" s="47" t="e" cm="1" vm="1">
        <f t="array" ref="H46">_FV(tbl_Spatial[[#This Row],[District_Name]],"Name")</f>
        <v>#VALUE!</v>
      </c>
    </row>
    <row r="47" spans="1:8" ht="42.6" customHeight="1" x14ac:dyDescent="0.3">
      <c r="A47" s="41">
        <f t="shared" si="1"/>
        <v>46</v>
      </c>
      <c r="B47" s="47" t="s">
        <v>326</v>
      </c>
      <c r="C47" s="47" t="s">
        <v>49</v>
      </c>
      <c r="D47" s="28" t="s">
        <v>50</v>
      </c>
      <c r="E47" s="47" t="s">
        <v>51</v>
      </c>
      <c r="F47" s="47" t="s">
        <v>324</v>
      </c>
      <c r="G47" s="47">
        <v>6</v>
      </c>
      <c r="H47" s="47" t="e" cm="1" vm="1">
        <f t="array" ref="H47">_FV(tbl_Spatial[[#This Row],[District_Name]],"Name")</f>
        <v>#VALUE!</v>
      </c>
    </row>
    <row r="48" spans="1:8" ht="42.6" customHeight="1" x14ac:dyDescent="0.3">
      <c r="A48" s="41">
        <f t="shared" si="1"/>
        <v>47</v>
      </c>
      <c r="B48" s="47" t="s">
        <v>327</v>
      </c>
      <c r="C48" s="47" t="s">
        <v>49</v>
      </c>
      <c r="D48" s="28" t="s">
        <v>328</v>
      </c>
      <c r="E48" s="47" t="s">
        <v>51</v>
      </c>
      <c r="F48" s="47" t="s">
        <v>324</v>
      </c>
      <c r="G48" s="47">
        <v>7</v>
      </c>
      <c r="H48" s="47" t="e" cm="1" vm="1">
        <f t="array" ref="H48">_FV(tbl_Spatial[[#This Row],[District_Name]],"Name")</f>
        <v>#VALUE!</v>
      </c>
    </row>
    <row r="49" spans="1:8" ht="42.6" customHeight="1" x14ac:dyDescent="0.3">
      <c r="A49" s="41">
        <f t="shared" si="1"/>
        <v>48</v>
      </c>
      <c r="B49" s="47" t="s">
        <v>330</v>
      </c>
      <c r="C49" s="47" t="s">
        <v>55</v>
      </c>
      <c r="D49" s="28" t="s">
        <v>340</v>
      </c>
      <c r="E49" s="47" t="s">
        <v>62</v>
      </c>
      <c r="F49" s="47" t="s">
        <v>63</v>
      </c>
      <c r="G49" s="47" t="s">
        <v>331</v>
      </c>
      <c r="H49" s="47" t="e" cm="1" vm="1">
        <f t="array" ref="H49">_FV(tbl_Spatial[[#This Row],[District_Name]],"Name")</f>
        <v>#VALUE!</v>
      </c>
    </row>
    <row r="50" spans="1:8" ht="42.6" customHeight="1" x14ac:dyDescent="0.3">
      <c r="A50" s="41">
        <f t="shared" si="1"/>
        <v>49</v>
      </c>
      <c r="B50" s="47" t="s">
        <v>332</v>
      </c>
      <c r="C50" s="47" t="s">
        <v>55</v>
      </c>
      <c r="D50" s="28" t="s">
        <v>333</v>
      </c>
      <c r="E50" s="47" t="s">
        <v>51</v>
      </c>
      <c r="F50" s="47" t="s">
        <v>334</v>
      </c>
      <c r="H50" s="47" t="e" cm="1" vm="1">
        <f t="array" ref="H50">_FV(tbl_Spatial[[#This Row],[District_Name]],"Name")</f>
        <v>#VALUE!</v>
      </c>
    </row>
    <row r="51" spans="1:8" ht="42.6" customHeight="1" x14ac:dyDescent="0.3">
      <c r="A51" s="41">
        <f t="shared" si="1"/>
        <v>50</v>
      </c>
      <c r="B51" s="47" t="s">
        <v>335</v>
      </c>
      <c r="C51" s="47" t="s">
        <v>55</v>
      </c>
      <c r="D51" s="28" t="s">
        <v>83</v>
      </c>
      <c r="E51" s="47" t="s">
        <v>51</v>
      </c>
      <c r="F51" s="47" t="s">
        <v>83</v>
      </c>
      <c r="G51" s="47" t="s">
        <v>336</v>
      </c>
      <c r="H51" s="47" t="e" cm="1" vm="1">
        <f t="array" ref="H51">_FV(tbl_Spatial[[#This Row],[District_Name]],"Name")</f>
        <v>#VALUE!</v>
      </c>
    </row>
    <row r="52" spans="1:8" ht="42.6" customHeight="1" x14ac:dyDescent="0.3">
      <c r="A52" s="41">
        <f t="shared" si="1"/>
        <v>51</v>
      </c>
      <c r="D52" s="28"/>
      <c r="H52" s="47" t="e" cm="1" vm="1">
        <f t="array" ref="H52">_FV(tbl_Spatial[[#This Row],[District_Name]],"Name")</f>
        <v>#VALUE!</v>
      </c>
    </row>
    <row r="53" spans="1:8" ht="42.6" customHeight="1" x14ac:dyDescent="0.3">
      <c r="A53" s="41">
        <f t="shared" si="1"/>
        <v>52</v>
      </c>
      <c r="D53" s="28"/>
      <c r="H53" s="47" t="e" cm="1" vm="1">
        <f t="array" ref="H53">_FV(tbl_Spatial[[#This Row],[District_Name]],"Name")</f>
        <v>#VALUE!</v>
      </c>
    </row>
    <row r="54" spans="1:8" ht="42.6" customHeight="1" x14ac:dyDescent="0.3">
      <c r="A54" s="41">
        <f t="shared" si="1"/>
        <v>53</v>
      </c>
      <c r="D54" s="28"/>
      <c r="H54" s="47" t="e" cm="1" vm="1">
        <f t="array" ref="H54">_FV(tbl_Spatial[[#This Row],[District_Name]],"Name")</f>
        <v>#VALUE!</v>
      </c>
    </row>
    <row r="55" spans="1:8" ht="42.6" customHeight="1" x14ac:dyDescent="0.3">
      <c r="A55" s="41">
        <f t="shared" si="1"/>
        <v>54</v>
      </c>
      <c r="D55" s="28"/>
      <c r="H55" s="47" t="e" cm="1" vm="1">
        <f t="array" ref="H55">_FV(tbl_Spatial[[#This Row],[District_Name]],"Name")</f>
        <v>#VALUE!</v>
      </c>
    </row>
    <row r="56" spans="1:8" ht="42.6" customHeight="1" x14ac:dyDescent="0.3">
      <c r="A56" s="41">
        <f t="shared" si="1"/>
        <v>55</v>
      </c>
      <c r="D56" s="28"/>
      <c r="H56" s="47" t="e" cm="1" vm="1">
        <f t="array" ref="H56">_FV(tbl_Spatial[[#This Row],[District_Name]],"Name")</f>
        <v>#VALUE!</v>
      </c>
    </row>
    <row r="57" spans="1:8" ht="42.6" customHeight="1" x14ac:dyDescent="0.3">
      <c r="A57" s="41">
        <f t="shared" si="1"/>
        <v>56</v>
      </c>
      <c r="D57" s="28"/>
      <c r="H57" s="47" t="e" cm="1" vm="1">
        <f t="array" ref="H57">_FV(tbl_Spatial[[#This Row],[District_Name]],"Name")</f>
        <v>#VALUE!</v>
      </c>
    </row>
    <row r="58" spans="1:8" ht="42.6" customHeight="1" x14ac:dyDescent="0.3">
      <c r="A58" s="41">
        <f t="shared" si="1"/>
        <v>57</v>
      </c>
      <c r="D58" s="28"/>
      <c r="H58" s="47" t="e" cm="1" vm="1">
        <f t="array" ref="H58">_FV(tbl_Spatial[[#This Row],[District_Name]],"Name")</f>
        <v>#VALUE!</v>
      </c>
    </row>
    <row r="59" spans="1:8" ht="42.6" customHeight="1" x14ac:dyDescent="0.3">
      <c r="A59" s="41">
        <f t="shared" si="1"/>
        <v>58</v>
      </c>
      <c r="D59" s="28"/>
      <c r="H59" s="47" t="e" cm="1" vm="1">
        <f t="array" ref="H59">_FV(tbl_Spatial[[#This Row],[District_Name]],"Name")</f>
        <v>#VALUE!</v>
      </c>
    </row>
    <row r="60" spans="1:8" ht="42.6" customHeight="1" x14ac:dyDescent="0.3">
      <c r="A60" s="41">
        <f t="shared" si="1"/>
        <v>59</v>
      </c>
      <c r="D60" s="28"/>
      <c r="H60" s="47" t="e" cm="1" vm="1">
        <f t="array" ref="H60">_FV(tbl_Spatial[[#This Row],[District_Name]],"Name")</f>
        <v>#VALUE!</v>
      </c>
    </row>
    <row r="61" spans="1:8" ht="42.6" customHeight="1" x14ac:dyDescent="0.3">
      <c r="A61" s="41">
        <f t="shared" si="1"/>
        <v>60</v>
      </c>
      <c r="D61" s="28"/>
      <c r="H61" s="47" t="e" cm="1" vm="1">
        <f t="array" ref="H61">_FV(tbl_Spatial[[#This Row],[District_Name]],"Name")</f>
        <v>#VALUE!</v>
      </c>
    </row>
    <row r="62" spans="1:8" ht="42.6" customHeight="1" x14ac:dyDescent="0.3">
      <c r="A62" s="41">
        <f t="shared" si="1"/>
        <v>61</v>
      </c>
      <c r="D62" s="28"/>
      <c r="H62" s="47" t="e" cm="1" vm="1">
        <f t="array" ref="H62">_FV(tbl_Spatial[[#This Row],[District_Name]],"Name")</f>
        <v>#VALUE!</v>
      </c>
    </row>
    <row r="63" spans="1:8" ht="42.6" customHeight="1" x14ac:dyDescent="0.3">
      <c r="A63" s="41">
        <f t="shared" si="1"/>
        <v>62</v>
      </c>
      <c r="D63" s="28"/>
      <c r="H63" s="47" t="e" cm="1" vm="1">
        <f t="array" ref="H63">_FV(tbl_Spatial[[#This Row],[District_Name]],"Name")</f>
        <v>#VALUE!</v>
      </c>
    </row>
    <row r="64" spans="1:8" ht="42.6" customHeight="1" x14ac:dyDescent="0.3">
      <c r="A64" s="41">
        <f t="shared" si="1"/>
        <v>63</v>
      </c>
      <c r="D64" s="28"/>
      <c r="H64" s="47" t="e" cm="1" vm="1">
        <f t="array" ref="H64">_FV(tbl_Spatial[[#This Row],[District_Name]],"Name")</f>
        <v>#VALUE!</v>
      </c>
    </row>
    <row r="65" spans="1:8" ht="42.6" customHeight="1" x14ac:dyDescent="0.3">
      <c r="A65" s="41">
        <f t="shared" si="1"/>
        <v>64</v>
      </c>
      <c r="D65" s="28"/>
      <c r="H65" s="47" t="e" cm="1" vm="1">
        <f t="array" ref="H65">_FV(tbl_Spatial[[#This Row],[District_Name]],"Name")</f>
        <v>#VALUE!</v>
      </c>
    </row>
    <row r="66" spans="1:8" ht="42.6" customHeight="1" x14ac:dyDescent="0.3">
      <c r="A66" s="41">
        <f t="shared" si="1"/>
        <v>65</v>
      </c>
      <c r="D66" s="28"/>
      <c r="H66" s="47" t="e" cm="1" vm="1">
        <f t="array" ref="H66">_FV(tbl_Spatial[[#This Row],[District_Name]],"Name")</f>
        <v>#VALUE!</v>
      </c>
    </row>
    <row r="67" spans="1:8" ht="42.6" customHeight="1" x14ac:dyDescent="0.3">
      <c r="A67" s="41">
        <f t="shared" ref="A67:A72" si="2">A66+1</f>
        <v>66</v>
      </c>
      <c r="D67" s="28"/>
      <c r="H67" s="47" t="e" cm="1" vm="1">
        <f t="array" ref="H67">_FV(tbl_Spatial[[#This Row],[District_Name]],"Name")</f>
        <v>#VALUE!</v>
      </c>
    </row>
    <row r="68" spans="1:8" ht="42.6" customHeight="1" x14ac:dyDescent="0.3">
      <c r="A68" s="41">
        <f t="shared" si="2"/>
        <v>67</v>
      </c>
      <c r="D68" s="28"/>
      <c r="H68" s="47" t="e" cm="1" vm="1">
        <f t="array" ref="H68">_FV(tbl_Spatial[[#This Row],[District_Name]],"Name")</f>
        <v>#VALUE!</v>
      </c>
    </row>
    <row r="69" spans="1:8" ht="42.6" customHeight="1" x14ac:dyDescent="0.3">
      <c r="A69" s="41">
        <f t="shared" si="2"/>
        <v>68</v>
      </c>
      <c r="D69" s="28"/>
      <c r="H69" s="47" t="e" cm="1" vm="1">
        <f t="array" ref="H69">_FV(tbl_Spatial[[#This Row],[District_Name]],"Name")</f>
        <v>#VALUE!</v>
      </c>
    </row>
    <row r="70" spans="1:8" ht="42.6" customHeight="1" x14ac:dyDescent="0.3">
      <c r="A70" s="41">
        <f t="shared" si="2"/>
        <v>69</v>
      </c>
      <c r="D70" s="28"/>
      <c r="H70" s="47" t="e" cm="1" vm="1">
        <f t="array" ref="H70">_FV(tbl_Spatial[[#This Row],[District_Name]],"Name")</f>
        <v>#VALUE!</v>
      </c>
    </row>
    <row r="71" spans="1:8" ht="42.6" customHeight="1" x14ac:dyDescent="0.3">
      <c r="A71" s="41">
        <f t="shared" si="2"/>
        <v>70</v>
      </c>
      <c r="D71" s="28"/>
      <c r="H71" s="47" t="e" cm="1" vm="1">
        <f t="array" ref="H71">_FV(tbl_Spatial[[#This Row],[District_Name]],"Name")</f>
        <v>#VALUE!</v>
      </c>
    </row>
    <row r="72" spans="1:8" ht="42.6" customHeight="1" x14ac:dyDescent="0.3">
      <c r="A72" s="41">
        <f t="shared" si="2"/>
        <v>71</v>
      </c>
      <c r="D72" s="28"/>
      <c r="H72" s="47" t="e" cm="1" vm="1">
        <f t="array" ref="H72">_FV(tbl_Spatial[[#This Row],[District_Name]],"Name")</f>
        <v>#VALUE!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zoomScaleNormal="100" workbookViewId="0">
      <pane xSplit="2" topLeftCell="C1" activePane="topRight" state="frozen"/>
      <selection pane="topRight" activeCell="G51" sqref="G51"/>
    </sheetView>
  </sheetViews>
  <sheetFormatPr defaultColWidth="8.5546875" defaultRowHeight="40.200000000000003" customHeight="1" x14ac:dyDescent="0.3"/>
  <cols>
    <col min="1" max="1" width="20" style="47" customWidth="1"/>
    <col min="2" max="2" width="23.109375" style="47" customWidth="1"/>
    <col min="3" max="3" width="24.6640625" style="47" customWidth="1"/>
    <col min="4" max="6" width="20" style="47" customWidth="1"/>
    <col min="7" max="7" width="40" style="47" customWidth="1"/>
    <col min="8" max="8" width="26.44140625" style="47" customWidth="1"/>
    <col min="9" max="9" width="14.33203125" style="47" customWidth="1"/>
    <col min="10" max="10" width="22.44140625" style="47" customWidth="1"/>
    <col min="11" max="11" width="29.21875" style="47" customWidth="1"/>
    <col min="12" max="12" width="16.109375" style="47" customWidth="1"/>
    <col min="13" max="13" width="8.5546875" style="47" customWidth="1"/>
    <col min="14" max="16384" width="8.5546875" style="47"/>
  </cols>
  <sheetData>
    <row r="1" spans="1:12" ht="40.200000000000003" customHeight="1" x14ac:dyDescent="0.3">
      <c r="A1" s="42" t="s">
        <v>0</v>
      </c>
      <c r="B1" s="42" t="s">
        <v>1</v>
      </c>
      <c r="C1" s="42" t="s">
        <v>121</v>
      </c>
      <c r="D1" s="42" t="s">
        <v>122</v>
      </c>
      <c r="E1" s="42" t="s">
        <v>123</v>
      </c>
      <c r="F1" s="42" t="s">
        <v>124</v>
      </c>
      <c r="G1" s="42" t="s">
        <v>125</v>
      </c>
      <c r="H1" s="42" t="s">
        <v>126</v>
      </c>
    </row>
    <row r="2" spans="1:12" ht="40.200000000000003" customHeight="1" x14ac:dyDescent="0.3">
      <c r="A2" s="38">
        <v>1</v>
      </c>
      <c r="B2" s="40" t="s">
        <v>48</v>
      </c>
      <c r="C2" s="38" t="s">
        <v>53</v>
      </c>
      <c r="D2" s="38">
        <v>2065</v>
      </c>
      <c r="E2" s="38"/>
      <c r="F2" s="43" t="str">
        <f t="shared" ref="F2:F65" si="0">IF(OR(D2=0,E2=0),"",D2/E2*100)</f>
        <v/>
      </c>
      <c r="G2" s="44" t="str">
        <f t="shared" ref="G2:G65" si="1">IF(F2="","",IF(F2&gt;=100,1,IF(F2&lt;=60,0,(F2-60)/40)))</f>
        <v/>
      </c>
      <c r="H2" s="38" t="str">
        <f t="shared" ref="H2:H65" si="2">IF($C2&lt;&gt;"Yes","NOT ELIGIBLE – No Business Plan exists",IF(G2=1,"Fully compliant – universal coverage",IF(G2=0,"Non-compliant – below minimum threshold","Partially compliant – improving toward full")))</f>
        <v>Partially compliant – improving toward full</v>
      </c>
    </row>
    <row r="3" spans="1:12" ht="40.200000000000003" customHeight="1" x14ac:dyDescent="0.3">
      <c r="A3" s="39">
        <f t="shared" ref="A3:A35" si="3">A2+1</f>
        <v>2</v>
      </c>
      <c r="B3" s="41" t="s">
        <v>54</v>
      </c>
      <c r="C3" s="38" t="s">
        <v>60</v>
      </c>
      <c r="D3" s="39">
        <v>2700</v>
      </c>
      <c r="E3" s="39">
        <v>4500</v>
      </c>
      <c r="F3" s="45">
        <f t="shared" si="0"/>
        <v>60</v>
      </c>
      <c r="G3" s="46">
        <f t="shared" si="1"/>
        <v>0</v>
      </c>
      <c r="H3" s="39" t="str">
        <f t="shared" si="2"/>
        <v>NOT ELIGIBLE – No Business Plan exists</v>
      </c>
      <c r="J3" s="57" t="s">
        <v>127</v>
      </c>
      <c r="K3" s="74"/>
      <c r="L3" s="74"/>
    </row>
    <row r="4" spans="1:12" ht="40.200000000000003" customHeight="1" x14ac:dyDescent="0.3">
      <c r="A4" s="39">
        <f t="shared" si="3"/>
        <v>3</v>
      </c>
      <c r="B4" s="40" t="s">
        <v>57</v>
      </c>
      <c r="C4" s="38" t="s">
        <v>60</v>
      </c>
      <c r="D4" s="38">
        <v>18000</v>
      </c>
      <c r="E4" s="38"/>
      <c r="F4" s="43" t="str">
        <f t="shared" si="0"/>
        <v/>
      </c>
      <c r="G4" s="44" t="str">
        <f t="shared" si="1"/>
        <v/>
      </c>
      <c r="H4" s="38" t="str">
        <f t="shared" si="2"/>
        <v>NOT ELIGIBLE – No Business Plan exists</v>
      </c>
      <c r="J4" s="47" t="s">
        <v>128</v>
      </c>
      <c r="K4" s="47" t="s">
        <v>129</v>
      </c>
      <c r="L4" s="47" t="s">
        <v>130</v>
      </c>
    </row>
    <row r="5" spans="1:12" ht="40.200000000000003" customHeight="1" x14ac:dyDescent="0.3">
      <c r="A5" s="39">
        <f t="shared" si="3"/>
        <v>4</v>
      </c>
      <c r="B5" s="41" t="s">
        <v>61</v>
      </c>
      <c r="C5" s="38" t="s">
        <v>53</v>
      </c>
      <c r="D5" s="39">
        <v>2100</v>
      </c>
      <c r="E5" s="39">
        <v>3500</v>
      </c>
      <c r="F5" s="45">
        <f t="shared" si="0"/>
        <v>60</v>
      </c>
      <c r="G5" s="46">
        <f t="shared" si="1"/>
        <v>0</v>
      </c>
      <c r="H5" s="39" t="str">
        <f t="shared" si="2"/>
        <v>Non-compliant – below minimum threshold</v>
      </c>
      <c r="J5" s="47" t="s">
        <v>131</v>
      </c>
      <c r="K5" s="47">
        <v>1</v>
      </c>
      <c r="L5" s="47" t="s">
        <v>132</v>
      </c>
    </row>
    <row r="6" spans="1:12" ht="40.200000000000003" customHeight="1" x14ac:dyDescent="0.3">
      <c r="A6" s="39">
        <f t="shared" si="3"/>
        <v>5</v>
      </c>
      <c r="B6" s="40" t="s">
        <v>64</v>
      </c>
      <c r="C6" s="38"/>
      <c r="D6" s="38">
        <v>2000</v>
      </c>
      <c r="E6" s="38"/>
      <c r="F6" s="43" t="str">
        <f t="shared" si="0"/>
        <v/>
      </c>
      <c r="G6" s="44" t="str">
        <f t="shared" si="1"/>
        <v/>
      </c>
      <c r="H6" s="38" t="str">
        <f t="shared" si="2"/>
        <v>NOT ELIGIBLE – No Business Plan exists</v>
      </c>
      <c r="J6" s="47" t="s">
        <v>133</v>
      </c>
      <c r="K6" s="47" t="s">
        <v>134</v>
      </c>
      <c r="L6" s="47" t="s">
        <v>135</v>
      </c>
    </row>
    <row r="7" spans="1:12" ht="40.200000000000003" customHeight="1" x14ac:dyDescent="0.3">
      <c r="A7" s="39">
        <f t="shared" si="3"/>
        <v>6</v>
      </c>
      <c r="B7" s="47" t="s">
        <v>66</v>
      </c>
      <c r="D7" s="47">
        <v>3360</v>
      </c>
      <c r="F7" s="43" t="str">
        <f t="shared" si="0"/>
        <v/>
      </c>
      <c r="G7" s="44" t="str">
        <f t="shared" si="1"/>
        <v/>
      </c>
      <c r="H7" s="38" t="str">
        <f t="shared" si="2"/>
        <v>NOT ELIGIBLE – No Business Plan exists</v>
      </c>
      <c r="J7" s="47" t="s">
        <v>136</v>
      </c>
      <c r="K7" s="47">
        <v>0</v>
      </c>
      <c r="L7" s="47" t="s">
        <v>137</v>
      </c>
    </row>
    <row r="8" spans="1:12" ht="40.200000000000003" customHeight="1" x14ac:dyDescent="0.3">
      <c r="A8" s="39">
        <f t="shared" si="3"/>
        <v>7</v>
      </c>
      <c r="B8" s="47" t="s">
        <v>69</v>
      </c>
      <c r="F8" s="43" t="str">
        <f t="shared" si="0"/>
        <v/>
      </c>
      <c r="G8" s="44" t="str">
        <f t="shared" si="1"/>
        <v/>
      </c>
      <c r="H8" s="38" t="str">
        <f t="shared" si="2"/>
        <v>NOT ELIGIBLE – No Business Plan exists</v>
      </c>
    </row>
    <row r="9" spans="1:12" ht="40.200000000000003" customHeight="1" x14ac:dyDescent="0.3">
      <c r="A9" s="39">
        <f t="shared" si="3"/>
        <v>8</v>
      </c>
      <c r="B9" s="47" t="s">
        <v>73</v>
      </c>
      <c r="D9" s="47">
        <v>1979</v>
      </c>
      <c r="F9" s="43" t="str">
        <f t="shared" si="0"/>
        <v/>
      </c>
      <c r="G9" s="44" t="str">
        <f t="shared" si="1"/>
        <v/>
      </c>
      <c r="H9" s="38" t="str">
        <f t="shared" si="2"/>
        <v>NOT ELIGIBLE – No Business Plan exists</v>
      </c>
    </row>
    <row r="10" spans="1:12" ht="40.200000000000003" customHeight="1" x14ac:dyDescent="0.3">
      <c r="A10" s="39">
        <f t="shared" si="3"/>
        <v>9</v>
      </c>
      <c r="B10" s="47" t="s">
        <v>75</v>
      </c>
      <c r="F10" s="43" t="str">
        <f t="shared" si="0"/>
        <v/>
      </c>
      <c r="G10" s="44" t="str">
        <f t="shared" si="1"/>
        <v/>
      </c>
      <c r="H10" s="38" t="str">
        <f t="shared" si="2"/>
        <v>NOT ELIGIBLE – No Business Plan exists</v>
      </c>
    </row>
    <row r="11" spans="1:12" ht="40.200000000000003" customHeight="1" x14ac:dyDescent="0.3">
      <c r="A11" s="39">
        <f t="shared" si="3"/>
        <v>10</v>
      </c>
      <c r="B11" s="47" t="str">
        <f>Spatial!B11</f>
        <v>Gaur_WSUC</v>
      </c>
      <c r="D11" s="47">
        <v>1666</v>
      </c>
      <c r="F11" s="43" t="str">
        <f t="shared" si="0"/>
        <v/>
      </c>
      <c r="G11" s="44" t="str">
        <f t="shared" si="1"/>
        <v/>
      </c>
      <c r="H11" s="38" t="str">
        <f t="shared" si="2"/>
        <v>NOT ELIGIBLE – No Business Plan exists</v>
      </c>
    </row>
    <row r="12" spans="1:12" ht="40.200000000000003" customHeight="1" x14ac:dyDescent="0.3">
      <c r="A12" s="39">
        <f t="shared" si="3"/>
        <v>11</v>
      </c>
      <c r="B12" s="47" t="str">
        <f>Spatial!B12</f>
        <v>Beni_WSUC</v>
      </c>
      <c r="C12" s="47" t="s">
        <v>60</v>
      </c>
      <c r="D12" s="47">
        <v>1143</v>
      </c>
      <c r="F12" s="43" t="str">
        <f t="shared" si="0"/>
        <v/>
      </c>
      <c r="G12" s="44" t="str">
        <f t="shared" si="1"/>
        <v/>
      </c>
      <c r="H12" s="38" t="str">
        <f t="shared" si="2"/>
        <v>NOT ELIGIBLE – No Business Plan exists</v>
      </c>
    </row>
    <row r="13" spans="1:12" ht="40.200000000000003" customHeight="1" x14ac:dyDescent="0.3">
      <c r="A13" s="39">
        <f t="shared" si="3"/>
        <v>12</v>
      </c>
      <c r="B13" s="47" t="str">
        <f>Spatial!B13</f>
        <v>Narayansthan_WSUC</v>
      </c>
      <c r="C13" s="47" t="s">
        <v>60</v>
      </c>
      <c r="D13" s="47">
        <v>907</v>
      </c>
      <c r="F13" s="43" t="str">
        <f t="shared" si="0"/>
        <v/>
      </c>
      <c r="G13" s="44" t="str">
        <f t="shared" si="1"/>
        <v/>
      </c>
      <c r="H13" s="38" t="str">
        <f t="shared" si="2"/>
        <v>NOT ELIGIBLE – No Business Plan exists</v>
      </c>
    </row>
    <row r="14" spans="1:12" ht="40.200000000000003" customHeight="1" x14ac:dyDescent="0.3">
      <c r="A14" s="39">
        <f t="shared" si="3"/>
        <v>13</v>
      </c>
      <c r="B14" s="47" t="str">
        <f>Spatial!B14</f>
        <v>Diktel_WSUC</v>
      </c>
      <c r="C14" s="47" t="s">
        <v>60</v>
      </c>
      <c r="D14" s="47">
        <v>1120</v>
      </c>
      <c r="F14" s="43" t="str">
        <f t="shared" si="0"/>
        <v/>
      </c>
      <c r="G14" s="44" t="str">
        <f t="shared" si="1"/>
        <v/>
      </c>
      <c r="H14" s="38" t="str">
        <f t="shared" si="2"/>
        <v>NOT ELIGIBLE – No Business Plan exists</v>
      </c>
    </row>
    <row r="15" spans="1:12" ht="40.200000000000003" customHeight="1" x14ac:dyDescent="0.3">
      <c r="A15" s="39">
        <f t="shared" si="3"/>
        <v>14</v>
      </c>
      <c r="B15" s="47" t="str">
        <f>Spatial!B15</f>
        <v>Parsa_WSUC</v>
      </c>
      <c r="C15" s="47" t="s">
        <v>60</v>
      </c>
      <c r="D15" s="47">
        <v>6500</v>
      </c>
      <c r="F15" s="43" t="str">
        <f t="shared" si="0"/>
        <v/>
      </c>
      <c r="G15" s="44" t="str">
        <f t="shared" si="1"/>
        <v/>
      </c>
      <c r="H15" s="38" t="str">
        <f t="shared" si="2"/>
        <v>NOT ELIGIBLE – No Business Plan exists</v>
      </c>
    </row>
    <row r="16" spans="1:12" ht="40.200000000000003" customHeight="1" x14ac:dyDescent="0.3">
      <c r="A16" s="39">
        <f t="shared" si="3"/>
        <v>15</v>
      </c>
      <c r="B16" s="47" t="str">
        <f>Spatial!B16</f>
        <v>Saradanagar_WSUC</v>
      </c>
      <c r="C16" s="47" t="s">
        <v>60</v>
      </c>
      <c r="D16" s="47">
        <v>3454</v>
      </c>
      <c r="F16" s="43" t="str">
        <f t="shared" si="0"/>
        <v/>
      </c>
      <c r="G16" s="44" t="str">
        <f t="shared" si="1"/>
        <v/>
      </c>
      <c r="H16" s="38" t="str">
        <f t="shared" si="2"/>
        <v>NOT ELIGIBLE – No Business Plan exists</v>
      </c>
    </row>
    <row r="17" spans="1:8" ht="40.200000000000003" customHeight="1" x14ac:dyDescent="0.3">
      <c r="A17" s="39">
        <f t="shared" si="3"/>
        <v>16</v>
      </c>
      <c r="B17" s="47" t="str">
        <f>Spatial!B17</f>
        <v>Gunjanagar_WSUC</v>
      </c>
      <c r="C17" s="47" t="s">
        <v>60</v>
      </c>
      <c r="D17" s="47">
        <v>5200</v>
      </c>
      <c r="F17" s="43" t="str">
        <f t="shared" si="0"/>
        <v/>
      </c>
      <c r="G17" s="44" t="str">
        <f t="shared" si="1"/>
        <v/>
      </c>
      <c r="H17" s="38" t="str">
        <f t="shared" si="2"/>
        <v>NOT ELIGIBLE – No Business Plan exists</v>
      </c>
    </row>
    <row r="18" spans="1:8" ht="40.200000000000003" customHeight="1" x14ac:dyDescent="0.3">
      <c r="A18" s="39">
        <f t="shared" si="3"/>
        <v>17</v>
      </c>
      <c r="B18" s="47" t="str">
        <f>Spatial!B18</f>
        <v>Meghauli_WSUC</v>
      </c>
      <c r="C18" s="47" t="s">
        <v>60</v>
      </c>
      <c r="D18" s="47">
        <v>2400</v>
      </c>
      <c r="F18" s="43" t="str">
        <f t="shared" si="0"/>
        <v/>
      </c>
      <c r="G18" s="44" t="str">
        <f t="shared" si="1"/>
        <v/>
      </c>
      <c r="H18" s="38" t="str">
        <f t="shared" si="2"/>
        <v>NOT ELIGIBLE – No Business Plan exists</v>
      </c>
    </row>
    <row r="19" spans="1:8" ht="40.200000000000003" customHeight="1" x14ac:dyDescent="0.3">
      <c r="A19" s="39">
        <f t="shared" si="3"/>
        <v>18</v>
      </c>
      <c r="B19" s="47" t="str">
        <f>Spatial!B19</f>
        <v>Sukranagar_WSUC</v>
      </c>
      <c r="C19" s="47" t="s">
        <v>60</v>
      </c>
      <c r="D19" s="47">
        <v>10190</v>
      </c>
      <c r="F19" s="43" t="str">
        <f t="shared" si="0"/>
        <v/>
      </c>
      <c r="G19" s="44" t="str">
        <f t="shared" si="1"/>
        <v/>
      </c>
      <c r="H19" s="38" t="str">
        <f t="shared" si="2"/>
        <v>NOT ELIGIBLE – No Business Plan exists</v>
      </c>
    </row>
    <row r="20" spans="1:8" ht="40.200000000000003" customHeight="1" x14ac:dyDescent="0.3">
      <c r="A20" s="39">
        <f t="shared" si="3"/>
        <v>19</v>
      </c>
      <c r="B20" s="47" t="str">
        <f>Spatial!B20</f>
        <v>Pithuwa_WSUC</v>
      </c>
      <c r="C20" s="47" t="s">
        <v>60</v>
      </c>
      <c r="D20" s="47">
        <v>5100</v>
      </c>
      <c r="F20" s="43" t="str">
        <f t="shared" si="0"/>
        <v/>
      </c>
      <c r="G20" s="44" t="str">
        <f t="shared" si="1"/>
        <v/>
      </c>
      <c r="H20" s="38" t="str">
        <f t="shared" si="2"/>
        <v>NOT ELIGIBLE – No Business Plan exists</v>
      </c>
    </row>
    <row r="21" spans="1:8" ht="40.200000000000003" customHeight="1" x14ac:dyDescent="0.3">
      <c r="A21" s="39">
        <f t="shared" si="3"/>
        <v>20</v>
      </c>
      <c r="B21" s="47" t="str">
        <f>Spatial!B21</f>
        <v>Jutpani_WSUC</v>
      </c>
      <c r="C21" s="47" t="s">
        <v>60</v>
      </c>
      <c r="D21" s="47">
        <v>4150</v>
      </c>
      <c r="F21" s="43" t="str">
        <f t="shared" si="0"/>
        <v/>
      </c>
      <c r="G21" s="44" t="str">
        <f t="shared" si="1"/>
        <v/>
      </c>
      <c r="H21" s="38" t="str">
        <f t="shared" si="2"/>
        <v>NOT ELIGIBLE – No Business Plan exists</v>
      </c>
    </row>
    <row r="22" spans="1:8" ht="40.200000000000003" customHeight="1" x14ac:dyDescent="0.3">
      <c r="A22" s="39">
        <f t="shared" si="3"/>
        <v>21</v>
      </c>
      <c r="B22" s="47" t="str">
        <f>Spatial!B22</f>
        <v>Namunashivanagar_WSUC</v>
      </c>
      <c r="C22" s="47" t="s">
        <v>60</v>
      </c>
      <c r="D22" s="47">
        <v>2363</v>
      </c>
      <c r="F22" s="43" t="str">
        <f t="shared" si="0"/>
        <v/>
      </c>
      <c r="G22" s="44" t="str">
        <f t="shared" si="1"/>
        <v/>
      </c>
      <c r="H22" s="38" t="str">
        <f t="shared" si="2"/>
        <v>NOT ELIGIBLE – No Business Plan exists</v>
      </c>
    </row>
    <row r="23" spans="1:8" ht="40.200000000000003" customHeight="1" x14ac:dyDescent="0.3">
      <c r="A23" s="39">
        <f t="shared" si="3"/>
        <v>22</v>
      </c>
      <c r="B23" s="47" t="str">
        <f>Spatial!B23</f>
        <v>Gaidakot_Pumping_WSUC</v>
      </c>
      <c r="C23" s="47" t="s">
        <v>60</v>
      </c>
      <c r="D23" s="47">
        <v>7000</v>
      </c>
      <c r="F23" s="43" t="str">
        <f t="shared" si="0"/>
        <v/>
      </c>
      <c r="G23" s="44" t="str">
        <f t="shared" si="1"/>
        <v/>
      </c>
      <c r="H23" s="38" t="str">
        <f t="shared" si="2"/>
        <v>NOT ELIGIBLE – No Business Plan exists</v>
      </c>
    </row>
    <row r="24" spans="1:8" ht="40.200000000000003" customHeight="1" x14ac:dyDescent="0.3">
      <c r="A24" s="39">
        <f t="shared" si="3"/>
        <v>23</v>
      </c>
      <c r="B24" s="47" t="str">
        <f>Spatial!B24</f>
        <v>Amarapuri_WSUC</v>
      </c>
      <c r="C24" s="47" t="s">
        <v>60</v>
      </c>
      <c r="D24" s="47">
        <v>2385</v>
      </c>
      <c r="F24" s="43" t="str">
        <f t="shared" si="0"/>
        <v/>
      </c>
      <c r="G24" s="44" t="str">
        <f t="shared" si="1"/>
        <v/>
      </c>
      <c r="H24" s="38" t="str">
        <f t="shared" si="2"/>
        <v>NOT ELIGIBLE – No Business Plan exists</v>
      </c>
    </row>
    <row r="25" spans="1:8" ht="40.200000000000003" customHeight="1" x14ac:dyDescent="0.3">
      <c r="A25" s="39">
        <f t="shared" si="3"/>
        <v>24</v>
      </c>
      <c r="B25" s="47" t="str">
        <f>Spatial!B25</f>
        <v>Jwalamukhi Rural Water Sanitation and Hygine Management Board</v>
      </c>
      <c r="C25" s="47" t="s">
        <v>53</v>
      </c>
      <c r="D25" s="47">
        <v>2751</v>
      </c>
      <c r="F25" s="43" t="str">
        <f t="shared" si="0"/>
        <v/>
      </c>
      <c r="G25" s="44" t="str">
        <f t="shared" si="1"/>
        <v/>
      </c>
      <c r="H25" s="38" t="str">
        <f t="shared" si="2"/>
        <v>Partially compliant – improving toward full</v>
      </c>
    </row>
    <row r="26" spans="1:8" ht="40.200000000000003" customHeight="1" x14ac:dyDescent="0.3">
      <c r="A26" s="39">
        <f t="shared" si="3"/>
        <v>25</v>
      </c>
      <c r="B26" s="47" t="str">
        <f>Spatial!B26</f>
        <v>Mulkhola_Thakre_WSUC</v>
      </c>
      <c r="C26" s="47" t="s">
        <v>60</v>
      </c>
      <c r="D26" s="47">
        <v>2800</v>
      </c>
      <c r="F26" s="43" t="str">
        <f t="shared" si="0"/>
        <v/>
      </c>
      <c r="G26" s="44" t="str">
        <f t="shared" si="1"/>
        <v/>
      </c>
      <c r="H26" s="38" t="str">
        <f t="shared" si="2"/>
        <v>NOT ELIGIBLE – No Business Plan exists</v>
      </c>
    </row>
    <row r="27" spans="1:8" ht="40.200000000000003" customHeight="1" x14ac:dyDescent="0.3">
      <c r="A27" s="39">
        <f t="shared" si="3"/>
        <v>26</v>
      </c>
      <c r="B27" s="47" t="str">
        <f>Spatial!B27</f>
        <v xml:space="preserve">Belung_Salyankot_WSUC </v>
      </c>
      <c r="C27" s="47" t="s">
        <v>60</v>
      </c>
      <c r="D27" s="47">
        <v>750</v>
      </c>
      <c r="F27" s="43" t="str">
        <f t="shared" si="0"/>
        <v/>
      </c>
      <c r="G27" s="44" t="str">
        <f t="shared" si="1"/>
        <v/>
      </c>
      <c r="H27" s="38" t="str">
        <f t="shared" si="2"/>
        <v>NOT ELIGIBLE – No Business Plan exists</v>
      </c>
    </row>
    <row r="28" spans="1:8" ht="40.200000000000003" customHeight="1" x14ac:dyDescent="0.3">
      <c r="A28" s="39">
        <f t="shared" si="3"/>
        <v>27</v>
      </c>
      <c r="B28" s="47" t="str">
        <f>Spatial!B28</f>
        <v xml:space="preserve"> Anandaban Sankarnagar Water supply user and sanitation Accociation</v>
      </c>
      <c r="C28" s="47" t="s">
        <v>53</v>
      </c>
      <c r="D28" s="47">
        <v>10000</v>
      </c>
      <c r="F28" s="43" t="str">
        <f t="shared" si="0"/>
        <v/>
      </c>
      <c r="G28" s="44" t="str">
        <f t="shared" si="1"/>
        <v/>
      </c>
      <c r="H28" s="38" t="str">
        <f t="shared" si="2"/>
        <v>Partially compliant – improving toward full</v>
      </c>
    </row>
    <row r="29" spans="1:8" ht="40.200000000000003" customHeight="1" x14ac:dyDescent="0.3">
      <c r="A29" s="39">
        <f t="shared" si="3"/>
        <v>28</v>
      </c>
      <c r="B29" s="47" t="str">
        <f>Spatial!B29</f>
        <v>Mahadevsthan_Matatirtha_WSUC</v>
      </c>
      <c r="C29" s="47" t="s">
        <v>60</v>
      </c>
      <c r="D29" s="47">
        <v>4800</v>
      </c>
      <c r="F29" s="43" t="str">
        <f t="shared" si="0"/>
        <v/>
      </c>
      <c r="G29" s="44" t="str">
        <f t="shared" si="1"/>
        <v/>
      </c>
      <c r="H29" s="38" t="str">
        <f t="shared" si="2"/>
        <v>NOT ELIGIBLE – No Business Plan exists</v>
      </c>
    </row>
    <row r="30" spans="1:8" ht="40.200000000000003" customHeight="1" x14ac:dyDescent="0.3">
      <c r="A30" s="39">
        <f t="shared" si="3"/>
        <v>29</v>
      </c>
      <c r="B30" s="47" t="str">
        <f>Spatial!B30</f>
        <v>Dudhikot_Brihat_WSUC</v>
      </c>
      <c r="C30" s="47" t="s">
        <v>53</v>
      </c>
      <c r="D30" s="47">
        <v>4245</v>
      </c>
      <c r="F30" s="43" t="str">
        <f t="shared" si="0"/>
        <v/>
      </c>
      <c r="G30" s="44" t="str">
        <f t="shared" si="1"/>
        <v/>
      </c>
      <c r="H30" s="38" t="str">
        <f t="shared" si="2"/>
        <v>Partially compliant – improving toward full</v>
      </c>
    </row>
    <row r="31" spans="1:8" ht="40.200000000000003" customHeight="1" x14ac:dyDescent="0.3">
      <c r="A31" s="39">
        <f t="shared" si="3"/>
        <v>30</v>
      </c>
      <c r="B31" s="47" t="str">
        <f>Spatial!B31</f>
        <v>Diktel_WSUC</v>
      </c>
      <c r="C31" s="47" t="s">
        <v>60</v>
      </c>
      <c r="D31" s="47">
        <v>1120</v>
      </c>
      <c r="F31" s="43" t="str">
        <f t="shared" si="0"/>
        <v/>
      </c>
      <c r="G31" s="44" t="str">
        <f t="shared" si="1"/>
        <v/>
      </c>
      <c r="H31" s="38" t="str">
        <f t="shared" si="2"/>
        <v>NOT ELIGIBLE – No Business Plan exists</v>
      </c>
    </row>
    <row r="32" spans="1:8" ht="40.200000000000003" customHeight="1" x14ac:dyDescent="0.3">
      <c r="A32" s="39">
        <f t="shared" si="3"/>
        <v>31</v>
      </c>
      <c r="B32" s="47" t="str">
        <f>Spatial!B32</f>
        <v>Shuvaghat_WSUC</v>
      </c>
      <c r="C32" s="47" t="s">
        <v>60</v>
      </c>
      <c r="D32" s="47">
        <v>3245</v>
      </c>
      <c r="F32" s="43" t="str">
        <f t="shared" si="0"/>
        <v/>
      </c>
      <c r="G32" s="44" t="str">
        <f t="shared" si="1"/>
        <v/>
      </c>
      <c r="H32" s="38" t="str">
        <f t="shared" si="2"/>
        <v>NOT ELIGIBLE – No Business Plan exists</v>
      </c>
    </row>
    <row r="33" spans="1:8" ht="40.200000000000003" customHeight="1" x14ac:dyDescent="0.3">
      <c r="A33" s="39">
        <f t="shared" si="3"/>
        <v>32</v>
      </c>
      <c r="B33" s="47" t="str">
        <f>Spatial!B33</f>
        <v>Shivanagar_WSUC</v>
      </c>
      <c r="C33" s="47" t="s">
        <v>60</v>
      </c>
      <c r="D33" s="47">
        <v>4200</v>
      </c>
      <c r="F33" s="43" t="str">
        <f t="shared" si="0"/>
        <v/>
      </c>
      <c r="G33" s="44" t="str">
        <f t="shared" si="1"/>
        <v/>
      </c>
      <c r="H33" s="38" t="str">
        <f t="shared" si="2"/>
        <v>NOT ELIGIBLE – No Business Plan exists</v>
      </c>
    </row>
    <row r="34" spans="1:8" ht="40.200000000000003" customHeight="1" x14ac:dyDescent="0.3">
      <c r="A34" s="39">
        <f t="shared" si="3"/>
        <v>33</v>
      </c>
      <c r="B34" s="47" t="str">
        <f>Spatial!B34</f>
        <v>Kusma_WSUC</v>
      </c>
      <c r="C34" s="47" t="s">
        <v>60</v>
      </c>
      <c r="D34" s="47">
        <v>2800</v>
      </c>
      <c r="F34" s="43" t="str">
        <f t="shared" si="0"/>
        <v/>
      </c>
      <c r="G34" s="44" t="str">
        <f t="shared" si="1"/>
        <v/>
      </c>
      <c r="H34" s="38" t="str">
        <f t="shared" si="2"/>
        <v>NOT ELIGIBLE – No Business Plan exists</v>
      </c>
    </row>
    <row r="35" spans="1:8" ht="40.200000000000003" customHeight="1" x14ac:dyDescent="0.3">
      <c r="A35" s="39">
        <f t="shared" si="3"/>
        <v>34</v>
      </c>
      <c r="B35" s="47" t="str">
        <f>Spatial!B35</f>
        <v>Ghorahi_WSUC</v>
      </c>
      <c r="C35" s="47" t="s">
        <v>60</v>
      </c>
      <c r="D35" s="47">
        <v>8385</v>
      </c>
      <c r="F35" s="43" t="str">
        <f t="shared" si="0"/>
        <v/>
      </c>
      <c r="G35" s="44" t="str">
        <f t="shared" si="1"/>
        <v/>
      </c>
      <c r="H35" s="38" t="str">
        <f t="shared" si="2"/>
        <v>NOT ELIGIBLE – No Business Plan exists</v>
      </c>
    </row>
    <row r="36" spans="1:8" ht="40.200000000000003" customHeight="1" x14ac:dyDescent="0.3">
      <c r="A36" s="39">
        <f>A35+1</f>
        <v>35</v>
      </c>
      <c r="B36" s="47" t="str">
        <f>Spatial!B36</f>
        <v>Yasok Sukkha Area Tamor Pumping_WSUC</v>
      </c>
      <c r="C36" s="47" t="s">
        <v>60</v>
      </c>
      <c r="D36" s="47">
        <v>2275</v>
      </c>
      <c r="E36" s="47">
        <v>3343</v>
      </c>
      <c r="F36" s="43">
        <f t="shared" si="0"/>
        <v>68.052647322763988</v>
      </c>
      <c r="G36" s="44">
        <f t="shared" si="1"/>
        <v>0.20131618306909971</v>
      </c>
      <c r="H36" s="38" t="str">
        <f t="shared" si="2"/>
        <v>NOT ELIGIBLE – No Business Plan exists</v>
      </c>
    </row>
    <row r="37" spans="1:8" ht="40.200000000000003" customHeight="1" x14ac:dyDescent="0.3">
      <c r="A37" s="39">
        <f t="shared" ref="A37:A85" si="4">A36+1</f>
        <v>36</v>
      </c>
      <c r="B37" s="47" t="str">
        <f>Spatial!B37</f>
        <v>Phidim_WSUC</v>
      </c>
      <c r="C37" s="47" t="s">
        <v>60</v>
      </c>
      <c r="D37" s="47">
        <v>2997</v>
      </c>
      <c r="E37" s="47">
        <v>3897</v>
      </c>
      <c r="F37" s="43">
        <f t="shared" si="0"/>
        <v>76.905311778290994</v>
      </c>
      <c r="G37" s="44">
        <f t="shared" si="1"/>
        <v>0.42263279445727486</v>
      </c>
      <c r="H37" s="38" t="str">
        <f t="shared" si="2"/>
        <v>NOT ELIGIBLE – No Business Plan exists</v>
      </c>
    </row>
    <row r="38" spans="1:8" ht="40.200000000000003" customHeight="1" x14ac:dyDescent="0.3">
      <c r="A38" s="39">
        <f t="shared" si="4"/>
        <v>37</v>
      </c>
      <c r="B38" s="47" t="str">
        <f>Spatial!B38</f>
        <v>Taplejung_WSUC</v>
      </c>
      <c r="C38" s="47" t="s">
        <v>60</v>
      </c>
      <c r="D38" s="47">
        <v>2100</v>
      </c>
      <c r="E38" s="47">
        <v>2385</v>
      </c>
      <c r="F38" s="43">
        <f t="shared" si="0"/>
        <v>88.050314465408803</v>
      </c>
      <c r="G38" s="44">
        <f t="shared" si="1"/>
        <v>0.70125786163522008</v>
      </c>
      <c r="H38" s="38" t="str">
        <f t="shared" si="2"/>
        <v>NOT ELIGIBLE – No Business Plan exists</v>
      </c>
    </row>
    <row r="39" spans="1:8" ht="40.200000000000003" customHeight="1" x14ac:dyDescent="0.3">
      <c r="A39" s="39">
        <f t="shared" si="4"/>
        <v>38</v>
      </c>
      <c r="B39" s="47" t="str">
        <f>Spatial!B39</f>
        <v>Ilam Bazaar Urban_WSUC</v>
      </c>
      <c r="C39" s="47" t="s">
        <v>60</v>
      </c>
      <c r="D39" s="47">
        <v>4400</v>
      </c>
      <c r="E39" s="47">
        <v>5000</v>
      </c>
      <c r="F39" s="43">
        <f t="shared" si="0"/>
        <v>88</v>
      </c>
      <c r="G39" s="44">
        <f t="shared" si="1"/>
        <v>0.7</v>
      </c>
      <c r="H39" s="38" t="str">
        <f t="shared" si="2"/>
        <v>NOT ELIGIBLE – No Business Plan exists</v>
      </c>
    </row>
    <row r="40" spans="1:8" ht="40.200000000000003" customHeight="1" x14ac:dyDescent="0.3">
      <c r="A40" s="39">
        <f t="shared" si="4"/>
        <v>39</v>
      </c>
      <c r="B40" s="47" t="str">
        <f>Spatial!B40</f>
        <v>Dhankuta_WSUC</v>
      </c>
      <c r="C40" s="47" t="s">
        <v>60</v>
      </c>
      <c r="D40" s="47">
        <v>3750</v>
      </c>
      <c r="E40" s="47">
        <v>4156</v>
      </c>
      <c r="F40" s="43">
        <f t="shared" si="0"/>
        <v>90.230991337824832</v>
      </c>
      <c r="G40" s="44">
        <f t="shared" si="1"/>
        <v>0.75577478344562077</v>
      </c>
      <c r="H40" s="38" t="str">
        <f t="shared" si="2"/>
        <v>NOT ELIGIBLE – No Business Plan exists</v>
      </c>
    </row>
    <row r="41" spans="1:8" ht="40.200000000000003" customHeight="1" x14ac:dyDescent="0.3">
      <c r="A41" s="39">
        <f t="shared" si="4"/>
        <v>40</v>
      </c>
      <c r="B41" s="47" t="str">
        <f>Spatial!B41</f>
        <v>Khandbari_WSUC</v>
      </c>
      <c r="C41" s="47" t="s">
        <v>60</v>
      </c>
      <c r="D41" s="47">
        <v>2500</v>
      </c>
      <c r="E41" s="47">
        <v>3249</v>
      </c>
      <c r="F41" s="43">
        <f t="shared" si="0"/>
        <v>76.946752847029856</v>
      </c>
      <c r="G41" s="44">
        <f t="shared" si="1"/>
        <v>0.42366882117574639</v>
      </c>
      <c r="H41" s="38" t="str">
        <f t="shared" si="2"/>
        <v>NOT ELIGIBLE – No Business Plan exists</v>
      </c>
    </row>
    <row r="42" spans="1:8" ht="40.200000000000003" customHeight="1" x14ac:dyDescent="0.3">
      <c r="A42" s="39">
        <f t="shared" si="4"/>
        <v>41</v>
      </c>
      <c r="B42" s="47" t="str">
        <f>Spatial!B42</f>
        <v>Halesi Area Khotang Large Pumping</v>
      </c>
      <c r="C42" s="47" t="s">
        <v>60</v>
      </c>
      <c r="D42" s="47">
        <v>2200</v>
      </c>
      <c r="E42" s="47">
        <v>5000</v>
      </c>
      <c r="F42" s="43">
        <f t="shared" si="0"/>
        <v>44</v>
      </c>
      <c r="G42" s="44">
        <f t="shared" si="1"/>
        <v>0</v>
      </c>
      <c r="H42" s="38" t="str">
        <f t="shared" si="2"/>
        <v>NOT ELIGIBLE – No Business Plan exists</v>
      </c>
    </row>
    <row r="43" spans="1:8" ht="40.200000000000003" customHeight="1" x14ac:dyDescent="0.3">
      <c r="A43" s="39">
        <f t="shared" si="4"/>
        <v>42</v>
      </c>
      <c r="B43" s="47" t="str">
        <f>Spatial!B43</f>
        <v>Kakarvitta_WSUC</v>
      </c>
      <c r="C43" s="47" t="s">
        <v>53</v>
      </c>
      <c r="D43" s="47">
        <v>8755</v>
      </c>
      <c r="E43" s="47">
        <v>10385</v>
      </c>
      <c r="F43" s="43">
        <f t="shared" si="0"/>
        <v>84.3042850264805</v>
      </c>
      <c r="G43" s="44">
        <f t="shared" si="1"/>
        <v>0.60760712566201247</v>
      </c>
      <c r="H43" s="38" t="str">
        <f t="shared" si="2"/>
        <v>Partially compliant – improving toward full</v>
      </c>
    </row>
    <row r="44" spans="1:8" ht="40.200000000000003" customHeight="1" x14ac:dyDescent="0.3">
      <c r="A44" s="39">
        <f t="shared" si="4"/>
        <v>43</v>
      </c>
      <c r="B44" s="47" t="str">
        <f>Spatial!B44</f>
        <v>Khalanga_WSUC</v>
      </c>
      <c r="C44" s="47" t="s">
        <v>53</v>
      </c>
      <c r="D44" s="47">
        <v>2440</v>
      </c>
      <c r="E44" s="47">
        <v>2440</v>
      </c>
      <c r="F44" s="43">
        <f t="shared" si="0"/>
        <v>100</v>
      </c>
      <c r="G44" s="44">
        <f t="shared" si="1"/>
        <v>1</v>
      </c>
      <c r="H44" s="38" t="str">
        <f t="shared" si="2"/>
        <v>Fully compliant – universal coverage</v>
      </c>
    </row>
    <row r="45" spans="1:8" ht="40.200000000000003" customHeight="1" x14ac:dyDescent="0.3">
      <c r="A45" s="39">
        <f t="shared" si="4"/>
        <v>44</v>
      </c>
      <c r="B45" s="47" t="str">
        <f>Spatial!B45</f>
        <v>Nala_WSUC</v>
      </c>
      <c r="C45" s="47" t="s">
        <v>60</v>
      </c>
      <c r="D45" s="47">
        <v>411</v>
      </c>
      <c r="E45" s="47">
        <v>411</v>
      </c>
      <c r="F45" s="43">
        <f t="shared" si="0"/>
        <v>100</v>
      </c>
      <c r="G45" s="44">
        <f t="shared" si="1"/>
        <v>1</v>
      </c>
      <c r="H45" s="38" t="str">
        <f t="shared" si="2"/>
        <v>NOT ELIGIBLE – No Business Plan exists</v>
      </c>
    </row>
    <row r="46" spans="1:8" ht="40.200000000000003" customHeight="1" x14ac:dyDescent="0.3">
      <c r="A46" s="39">
        <f t="shared" si="4"/>
        <v>45</v>
      </c>
      <c r="B46" s="47" t="str">
        <f>Spatial!B46</f>
        <v>Dukuchhap_WSUC</v>
      </c>
      <c r="C46" s="47" t="s">
        <v>53</v>
      </c>
      <c r="D46" s="47">
        <v>707</v>
      </c>
      <c r="E46" s="47">
        <v>707</v>
      </c>
      <c r="F46" s="43">
        <f t="shared" si="0"/>
        <v>100</v>
      </c>
      <c r="G46" s="44">
        <f t="shared" si="1"/>
        <v>1</v>
      </c>
      <c r="H46" s="38" t="str">
        <f t="shared" si="2"/>
        <v>Fully compliant – universal coverage</v>
      </c>
    </row>
    <row r="47" spans="1:8" ht="40.200000000000003" customHeight="1" x14ac:dyDescent="0.3">
      <c r="A47" s="39">
        <f t="shared" si="4"/>
        <v>46</v>
      </c>
      <c r="B47" s="47" t="str">
        <f>Spatial!B47</f>
        <v>Kalitar_WSUC</v>
      </c>
      <c r="C47" s="47" t="s">
        <v>53</v>
      </c>
      <c r="D47" s="47">
        <v>123</v>
      </c>
      <c r="E47" s="47">
        <v>123</v>
      </c>
      <c r="F47" s="43">
        <f t="shared" si="0"/>
        <v>100</v>
      </c>
      <c r="G47" s="44">
        <f t="shared" si="1"/>
        <v>1</v>
      </c>
      <c r="H47" s="38" t="str">
        <f t="shared" si="2"/>
        <v>Fully compliant – universal coverage</v>
      </c>
    </row>
    <row r="48" spans="1:8" ht="40.200000000000003" customHeight="1" x14ac:dyDescent="0.3">
      <c r="A48" s="39">
        <f t="shared" si="4"/>
        <v>47</v>
      </c>
      <c r="B48" s="47" t="str">
        <f>Spatial!B48</f>
        <v>Jaubari Gahu Bari _WSUC</v>
      </c>
      <c r="C48" s="47" t="s">
        <v>60</v>
      </c>
      <c r="D48" s="47">
        <v>77</v>
      </c>
      <c r="E48" s="47">
        <v>77</v>
      </c>
      <c r="F48" s="43">
        <f t="shared" si="0"/>
        <v>100</v>
      </c>
      <c r="G48" s="44">
        <f t="shared" si="1"/>
        <v>1</v>
      </c>
      <c r="H48" s="38" t="str">
        <f t="shared" si="2"/>
        <v>NOT ELIGIBLE – No Business Plan exists</v>
      </c>
    </row>
    <row r="49" spans="1:8" ht="40.200000000000003" customHeight="1" x14ac:dyDescent="0.3">
      <c r="A49" s="39">
        <f t="shared" si="4"/>
        <v>48</v>
      </c>
      <c r="B49" s="47" t="str">
        <f>Spatial!B49</f>
        <v>Lekhnath_WSUC</v>
      </c>
      <c r="C49" s="47" t="s">
        <v>60</v>
      </c>
      <c r="D49" s="47">
        <v>17589</v>
      </c>
      <c r="E49" s="47">
        <v>23049</v>
      </c>
      <c r="F49" s="43">
        <f t="shared" si="0"/>
        <v>76.311336717428091</v>
      </c>
      <c r="G49" s="44">
        <f t="shared" si="1"/>
        <v>0.40778341793570227</v>
      </c>
      <c r="H49" s="38" t="str">
        <f t="shared" si="2"/>
        <v>NOT ELIGIBLE – No Business Plan exists</v>
      </c>
    </row>
    <row r="50" spans="1:8" ht="40.200000000000003" customHeight="1" x14ac:dyDescent="0.3">
      <c r="A50" s="39">
        <f t="shared" si="4"/>
        <v>49</v>
      </c>
      <c r="B50" s="47" t="str">
        <f>Spatial!B50</f>
        <v>Waling_WSUC</v>
      </c>
      <c r="C50" s="47" t="s">
        <v>53</v>
      </c>
      <c r="D50" s="47">
        <v>3130</v>
      </c>
      <c r="E50" s="47">
        <v>4800</v>
      </c>
      <c r="F50" s="43">
        <f t="shared" si="0"/>
        <v>65.208333333333329</v>
      </c>
      <c r="G50" s="44">
        <f t="shared" si="1"/>
        <v>0.1302083333333332</v>
      </c>
      <c r="H50" s="38" t="str">
        <f t="shared" si="2"/>
        <v>Partially compliant – improving toward full</v>
      </c>
    </row>
    <row r="51" spans="1:8" ht="40.200000000000003" customHeight="1" x14ac:dyDescent="0.3">
      <c r="A51" s="39">
        <f t="shared" si="4"/>
        <v>50</v>
      </c>
      <c r="B51" s="47" t="str">
        <f>Spatial!B51</f>
        <v>Baglung_WSUC</v>
      </c>
      <c r="C51" s="47" t="s">
        <v>60</v>
      </c>
      <c r="D51" s="47">
        <v>4250</v>
      </c>
      <c r="E51" s="47">
        <v>4250</v>
      </c>
      <c r="F51" s="43">
        <f t="shared" si="0"/>
        <v>100</v>
      </c>
      <c r="G51" s="44">
        <f t="shared" si="1"/>
        <v>1</v>
      </c>
      <c r="H51" s="38" t="str">
        <f t="shared" si="2"/>
        <v>NOT ELIGIBLE – No Business Plan exists</v>
      </c>
    </row>
    <row r="52" spans="1:8" ht="40.200000000000003" customHeight="1" x14ac:dyDescent="0.3">
      <c r="A52" s="39">
        <f t="shared" si="4"/>
        <v>51</v>
      </c>
      <c r="F52" s="43" t="str">
        <f t="shared" si="0"/>
        <v/>
      </c>
      <c r="G52" s="44" t="str">
        <f t="shared" si="1"/>
        <v/>
      </c>
      <c r="H52" s="38" t="str">
        <f t="shared" si="2"/>
        <v>NOT ELIGIBLE – No Business Plan exists</v>
      </c>
    </row>
    <row r="53" spans="1:8" ht="40.200000000000003" customHeight="1" x14ac:dyDescent="0.3">
      <c r="A53" s="39">
        <f t="shared" si="4"/>
        <v>52</v>
      </c>
      <c r="F53" s="43" t="str">
        <f t="shared" si="0"/>
        <v/>
      </c>
      <c r="G53" s="44" t="str">
        <f t="shared" si="1"/>
        <v/>
      </c>
      <c r="H53" s="38" t="str">
        <f t="shared" si="2"/>
        <v>NOT ELIGIBLE – No Business Plan exists</v>
      </c>
    </row>
    <row r="54" spans="1:8" ht="40.200000000000003" customHeight="1" x14ac:dyDescent="0.3">
      <c r="A54" s="39">
        <f t="shared" si="4"/>
        <v>53</v>
      </c>
      <c r="F54" s="43" t="str">
        <f t="shared" si="0"/>
        <v/>
      </c>
      <c r="G54" s="44" t="str">
        <f t="shared" si="1"/>
        <v/>
      </c>
      <c r="H54" s="38" t="str">
        <f t="shared" si="2"/>
        <v>NOT ELIGIBLE – No Business Plan exists</v>
      </c>
    </row>
    <row r="55" spans="1:8" ht="40.200000000000003" customHeight="1" x14ac:dyDescent="0.3">
      <c r="A55" s="39">
        <f t="shared" si="4"/>
        <v>54</v>
      </c>
      <c r="F55" s="43" t="str">
        <f t="shared" si="0"/>
        <v/>
      </c>
      <c r="G55" s="44" t="str">
        <f t="shared" si="1"/>
        <v/>
      </c>
      <c r="H55" s="38" t="str">
        <f t="shared" si="2"/>
        <v>NOT ELIGIBLE – No Business Plan exists</v>
      </c>
    </row>
    <row r="56" spans="1:8" ht="40.200000000000003" customHeight="1" x14ac:dyDescent="0.3">
      <c r="A56" s="39">
        <f t="shared" si="4"/>
        <v>55</v>
      </c>
      <c r="F56" s="43" t="str">
        <f t="shared" si="0"/>
        <v/>
      </c>
      <c r="G56" s="44" t="str">
        <f t="shared" si="1"/>
        <v/>
      </c>
      <c r="H56" s="38" t="str">
        <f t="shared" si="2"/>
        <v>NOT ELIGIBLE – No Business Plan exists</v>
      </c>
    </row>
    <row r="57" spans="1:8" ht="40.200000000000003" customHeight="1" x14ac:dyDescent="0.3">
      <c r="A57" s="39">
        <f t="shared" si="4"/>
        <v>56</v>
      </c>
      <c r="F57" s="43" t="str">
        <f t="shared" si="0"/>
        <v/>
      </c>
      <c r="G57" s="44" t="str">
        <f t="shared" si="1"/>
        <v/>
      </c>
      <c r="H57" s="38" t="str">
        <f t="shared" si="2"/>
        <v>NOT ELIGIBLE – No Business Plan exists</v>
      </c>
    </row>
    <row r="58" spans="1:8" ht="40.200000000000003" customHeight="1" x14ac:dyDescent="0.3">
      <c r="A58" s="39">
        <f t="shared" si="4"/>
        <v>57</v>
      </c>
      <c r="F58" s="43" t="str">
        <f t="shared" si="0"/>
        <v/>
      </c>
      <c r="G58" s="44" t="str">
        <f t="shared" si="1"/>
        <v/>
      </c>
      <c r="H58" s="38" t="str">
        <f t="shared" si="2"/>
        <v>NOT ELIGIBLE – No Business Plan exists</v>
      </c>
    </row>
    <row r="59" spans="1:8" ht="40.200000000000003" customHeight="1" x14ac:dyDescent="0.3">
      <c r="A59" s="39">
        <f t="shared" si="4"/>
        <v>58</v>
      </c>
      <c r="F59" s="43" t="str">
        <f t="shared" si="0"/>
        <v/>
      </c>
      <c r="G59" s="44" t="str">
        <f t="shared" si="1"/>
        <v/>
      </c>
      <c r="H59" s="38" t="str">
        <f t="shared" si="2"/>
        <v>NOT ELIGIBLE – No Business Plan exists</v>
      </c>
    </row>
    <row r="60" spans="1:8" ht="40.200000000000003" customHeight="1" x14ac:dyDescent="0.3">
      <c r="A60" s="39">
        <f t="shared" si="4"/>
        <v>59</v>
      </c>
      <c r="F60" s="43" t="str">
        <f t="shared" si="0"/>
        <v/>
      </c>
      <c r="G60" s="44" t="str">
        <f t="shared" si="1"/>
        <v/>
      </c>
      <c r="H60" s="38" t="str">
        <f t="shared" si="2"/>
        <v>NOT ELIGIBLE – No Business Plan exists</v>
      </c>
    </row>
    <row r="61" spans="1:8" ht="40.200000000000003" customHeight="1" x14ac:dyDescent="0.3">
      <c r="A61" s="39">
        <f t="shared" si="4"/>
        <v>60</v>
      </c>
      <c r="F61" s="43" t="str">
        <f t="shared" si="0"/>
        <v/>
      </c>
      <c r="G61" s="44" t="str">
        <f t="shared" si="1"/>
        <v/>
      </c>
      <c r="H61" s="38" t="str">
        <f t="shared" si="2"/>
        <v>NOT ELIGIBLE – No Business Plan exists</v>
      </c>
    </row>
    <row r="62" spans="1:8" ht="40.200000000000003" customHeight="1" x14ac:dyDescent="0.3">
      <c r="A62" s="39">
        <f t="shared" si="4"/>
        <v>61</v>
      </c>
      <c r="F62" s="43" t="str">
        <f t="shared" si="0"/>
        <v/>
      </c>
      <c r="G62" s="44" t="str">
        <f t="shared" si="1"/>
        <v/>
      </c>
      <c r="H62" s="38" t="str">
        <f t="shared" si="2"/>
        <v>NOT ELIGIBLE – No Business Plan exists</v>
      </c>
    </row>
    <row r="63" spans="1:8" ht="40.200000000000003" customHeight="1" x14ac:dyDescent="0.3">
      <c r="A63" s="39">
        <f t="shared" si="4"/>
        <v>62</v>
      </c>
      <c r="F63" s="43" t="str">
        <f t="shared" si="0"/>
        <v/>
      </c>
      <c r="G63" s="44" t="str">
        <f t="shared" si="1"/>
        <v/>
      </c>
      <c r="H63" s="38" t="str">
        <f t="shared" si="2"/>
        <v>NOT ELIGIBLE – No Business Plan exists</v>
      </c>
    </row>
    <row r="64" spans="1:8" ht="40.200000000000003" customHeight="1" x14ac:dyDescent="0.3">
      <c r="A64" s="39">
        <f t="shared" si="4"/>
        <v>63</v>
      </c>
      <c r="F64" s="43" t="str">
        <f t="shared" si="0"/>
        <v/>
      </c>
      <c r="G64" s="44" t="str">
        <f t="shared" si="1"/>
        <v/>
      </c>
      <c r="H64" s="38" t="str">
        <f t="shared" si="2"/>
        <v>NOT ELIGIBLE – No Business Plan exists</v>
      </c>
    </row>
    <row r="65" spans="1:8" ht="40.200000000000003" customHeight="1" x14ac:dyDescent="0.3">
      <c r="A65" s="39">
        <f t="shared" si="4"/>
        <v>64</v>
      </c>
      <c r="F65" s="43" t="str">
        <f t="shared" si="0"/>
        <v/>
      </c>
      <c r="G65" s="44" t="str">
        <f t="shared" si="1"/>
        <v/>
      </c>
      <c r="H65" s="38" t="str">
        <f t="shared" si="2"/>
        <v>NOT ELIGIBLE – No Business Plan exists</v>
      </c>
    </row>
    <row r="66" spans="1:8" ht="40.200000000000003" customHeight="1" x14ac:dyDescent="0.3">
      <c r="A66" s="39">
        <f t="shared" si="4"/>
        <v>65</v>
      </c>
      <c r="F66" s="43" t="str">
        <f t="shared" ref="F66:F85" si="5">IF(OR(D66=0,E66=0),"",D66/E66*100)</f>
        <v/>
      </c>
      <c r="G66" s="44" t="str">
        <f t="shared" ref="G66:G85" si="6">IF(F66="","",IF(F66&gt;=100,1,IF(F66&lt;=60,0,(F66-60)/40)))</f>
        <v/>
      </c>
      <c r="H66" s="38" t="str">
        <f t="shared" ref="H66:H85" si="7">IF($C66&lt;&gt;"Yes","NOT ELIGIBLE – No Business Plan exists",IF(G66=1,"Fully compliant – universal coverage",IF(G66=0,"Non-compliant – below minimum threshold","Partially compliant – improving toward full")))</f>
        <v>NOT ELIGIBLE – No Business Plan exists</v>
      </c>
    </row>
    <row r="67" spans="1:8" ht="40.200000000000003" customHeight="1" x14ac:dyDescent="0.3">
      <c r="A67" s="39">
        <f t="shared" si="4"/>
        <v>66</v>
      </c>
      <c r="F67" s="43" t="str">
        <f t="shared" si="5"/>
        <v/>
      </c>
      <c r="G67" s="44" t="str">
        <f t="shared" si="6"/>
        <v/>
      </c>
      <c r="H67" s="38" t="str">
        <f t="shared" si="7"/>
        <v>NOT ELIGIBLE – No Business Plan exists</v>
      </c>
    </row>
    <row r="68" spans="1:8" ht="40.200000000000003" customHeight="1" x14ac:dyDescent="0.3">
      <c r="A68" s="39">
        <f t="shared" si="4"/>
        <v>67</v>
      </c>
      <c r="F68" s="43" t="str">
        <f t="shared" si="5"/>
        <v/>
      </c>
      <c r="G68" s="44" t="str">
        <f t="shared" si="6"/>
        <v/>
      </c>
      <c r="H68" s="38" t="str">
        <f t="shared" si="7"/>
        <v>NOT ELIGIBLE – No Business Plan exists</v>
      </c>
    </row>
    <row r="69" spans="1:8" ht="40.200000000000003" customHeight="1" x14ac:dyDescent="0.3">
      <c r="A69" s="39">
        <f t="shared" si="4"/>
        <v>68</v>
      </c>
      <c r="F69" s="43" t="str">
        <f t="shared" si="5"/>
        <v/>
      </c>
      <c r="G69" s="44" t="str">
        <f t="shared" si="6"/>
        <v/>
      </c>
      <c r="H69" s="38" t="str">
        <f t="shared" si="7"/>
        <v>NOT ELIGIBLE – No Business Plan exists</v>
      </c>
    </row>
    <row r="70" spans="1:8" ht="40.200000000000003" customHeight="1" x14ac:dyDescent="0.3">
      <c r="A70" s="39">
        <f t="shared" si="4"/>
        <v>69</v>
      </c>
      <c r="F70" s="43" t="str">
        <f t="shared" si="5"/>
        <v/>
      </c>
      <c r="G70" s="44" t="str">
        <f t="shared" si="6"/>
        <v/>
      </c>
      <c r="H70" s="38" t="str">
        <f t="shared" si="7"/>
        <v>NOT ELIGIBLE – No Business Plan exists</v>
      </c>
    </row>
    <row r="71" spans="1:8" ht="40.200000000000003" customHeight="1" x14ac:dyDescent="0.3">
      <c r="A71" s="39">
        <f t="shared" si="4"/>
        <v>70</v>
      </c>
      <c r="F71" s="43" t="str">
        <f t="shared" si="5"/>
        <v/>
      </c>
      <c r="G71" s="44" t="str">
        <f t="shared" si="6"/>
        <v/>
      </c>
      <c r="H71" s="38" t="str">
        <f t="shared" si="7"/>
        <v>NOT ELIGIBLE – No Business Plan exists</v>
      </c>
    </row>
    <row r="72" spans="1:8" ht="40.200000000000003" customHeight="1" x14ac:dyDescent="0.3">
      <c r="A72" s="39">
        <f t="shared" si="4"/>
        <v>71</v>
      </c>
      <c r="F72" s="43" t="str">
        <f t="shared" si="5"/>
        <v/>
      </c>
      <c r="G72" s="44" t="str">
        <f t="shared" si="6"/>
        <v/>
      </c>
      <c r="H72" s="38" t="str">
        <f t="shared" si="7"/>
        <v>NOT ELIGIBLE – No Business Plan exists</v>
      </c>
    </row>
    <row r="73" spans="1:8" ht="40.200000000000003" customHeight="1" x14ac:dyDescent="0.3">
      <c r="A73" s="39">
        <f t="shared" si="4"/>
        <v>72</v>
      </c>
      <c r="F73" s="43" t="str">
        <f t="shared" si="5"/>
        <v/>
      </c>
      <c r="G73" s="44" t="str">
        <f t="shared" si="6"/>
        <v/>
      </c>
      <c r="H73" s="38" t="str">
        <f t="shared" si="7"/>
        <v>NOT ELIGIBLE – No Business Plan exists</v>
      </c>
    </row>
    <row r="74" spans="1:8" ht="40.200000000000003" customHeight="1" x14ac:dyDescent="0.3">
      <c r="A74" s="39">
        <f t="shared" si="4"/>
        <v>73</v>
      </c>
      <c r="F74" s="43" t="str">
        <f t="shared" si="5"/>
        <v/>
      </c>
      <c r="G74" s="44" t="str">
        <f t="shared" si="6"/>
        <v/>
      </c>
      <c r="H74" s="38" t="str">
        <f t="shared" si="7"/>
        <v>NOT ELIGIBLE – No Business Plan exists</v>
      </c>
    </row>
    <row r="75" spans="1:8" ht="40.200000000000003" customHeight="1" x14ac:dyDescent="0.3">
      <c r="A75" s="39">
        <f t="shared" si="4"/>
        <v>74</v>
      </c>
      <c r="F75" s="43" t="str">
        <f t="shared" si="5"/>
        <v/>
      </c>
      <c r="G75" s="44" t="str">
        <f t="shared" si="6"/>
        <v/>
      </c>
      <c r="H75" s="38" t="str">
        <f t="shared" si="7"/>
        <v>NOT ELIGIBLE – No Business Plan exists</v>
      </c>
    </row>
    <row r="76" spans="1:8" ht="40.200000000000003" customHeight="1" x14ac:dyDescent="0.3">
      <c r="A76" s="39">
        <f t="shared" si="4"/>
        <v>75</v>
      </c>
      <c r="F76" s="43" t="str">
        <f t="shared" si="5"/>
        <v/>
      </c>
      <c r="G76" s="44" t="str">
        <f t="shared" si="6"/>
        <v/>
      </c>
      <c r="H76" s="38" t="str">
        <f t="shared" si="7"/>
        <v>NOT ELIGIBLE – No Business Plan exists</v>
      </c>
    </row>
    <row r="77" spans="1:8" ht="40.200000000000003" customHeight="1" x14ac:dyDescent="0.3">
      <c r="A77" s="39">
        <f t="shared" si="4"/>
        <v>76</v>
      </c>
      <c r="F77" s="43" t="str">
        <f t="shared" si="5"/>
        <v/>
      </c>
      <c r="G77" s="44" t="str">
        <f t="shared" si="6"/>
        <v/>
      </c>
      <c r="H77" s="38" t="str">
        <f t="shared" si="7"/>
        <v>NOT ELIGIBLE – No Business Plan exists</v>
      </c>
    </row>
    <row r="78" spans="1:8" ht="40.200000000000003" customHeight="1" x14ac:dyDescent="0.3">
      <c r="A78" s="39">
        <f t="shared" si="4"/>
        <v>77</v>
      </c>
      <c r="F78" s="43" t="str">
        <f t="shared" si="5"/>
        <v/>
      </c>
      <c r="G78" s="44" t="str">
        <f t="shared" si="6"/>
        <v/>
      </c>
      <c r="H78" s="38" t="str">
        <f t="shared" si="7"/>
        <v>NOT ELIGIBLE – No Business Plan exists</v>
      </c>
    </row>
    <row r="79" spans="1:8" ht="40.200000000000003" customHeight="1" x14ac:dyDescent="0.3">
      <c r="A79" s="39">
        <f t="shared" si="4"/>
        <v>78</v>
      </c>
      <c r="F79" s="43" t="str">
        <f t="shared" si="5"/>
        <v/>
      </c>
      <c r="G79" s="44" t="str">
        <f t="shared" si="6"/>
        <v/>
      </c>
      <c r="H79" s="38" t="str">
        <f t="shared" si="7"/>
        <v>NOT ELIGIBLE – No Business Plan exists</v>
      </c>
    </row>
    <row r="80" spans="1:8" ht="40.200000000000003" customHeight="1" x14ac:dyDescent="0.3">
      <c r="A80" s="39">
        <f t="shared" si="4"/>
        <v>79</v>
      </c>
      <c r="F80" s="43" t="str">
        <f t="shared" si="5"/>
        <v/>
      </c>
      <c r="G80" s="44" t="str">
        <f t="shared" si="6"/>
        <v/>
      </c>
      <c r="H80" s="38" t="str">
        <f t="shared" si="7"/>
        <v>NOT ELIGIBLE – No Business Plan exists</v>
      </c>
    </row>
    <row r="81" spans="1:8" ht="40.200000000000003" customHeight="1" x14ac:dyDescent="0.3">
      <c r="A81" s="39">
        <f t="shared" si="4"/>
        <v>80</v>
      </c>
      <c r="F81" s="43" t="str">
        <f t="shared" si="5"/>
        <v/>
      </c>
      <c r="G81" s="44" t="str">
        <f t="shared" si="6"/>
        <v/>
      </c>
      <c r="H81" s="38" t="str">
        <f t="shared" si="7"/>
        <v>NOT ELIGIBLE – No Business Plan exists</v>
      </c>
    </row>
    <row r="82" spans="1:8" ht="40.200000000000003" customHeight="1" x14ac:dyDescent="0.3">
      <c r="A82" s="39">
        <f t="shared" si="4"/>
        <v>81</v>
      </c>
      <c r="F82" s="43" t="str">
        <f t="shared" si="5"/>
        <v/>
      </c>
      <c r="G82" s="44" t="str">
        <f t="shared" si="6"/>
        <v/>
      </c>
      <c r="H82" s="38" t="str">
        <f t="shared" si="7"/>
        <v>NOT ELIGIBLE – No Business Plan exists</v>
      </c>
    </row>
    <row r="83" spans="1:8" ht="40.200000000000003" customHeight="1" x14ac:dyDescent="0.3">
      <c r="A83" s="39">
        <f t="shared" si="4"/>
        <v>82</v>
      </c>
      <c r="F83" s="43" t="str">
        <f t="shared" si="5"/>
        <v/>
      </c>
      <c r="G83" s="44" t="str">
        <f t="shared" si="6"/>
        <v/>
      </c>
      <c r="H83" s="38" t="str">
        <f t="shared" si="7"/>
        <v>NOT ELIGIBLE – No Business Plan exists</v>
      </c>
    </row>
    <row r="84" spans="1:8" ht="40.200000000000003" customHeight="1" x14ac:dyDescent="0.3">
      <c r="A84" s="39">
        <f t="shared" si="4"/>
        <v>83</v>
      </c>
      <c r="F84" s="43" t="str">
        <f t="shared" si="5"/>
        <v/>
      </c>
      <c r="G84" s="44" t="str">
        <f t="shared" si="6"/>
        <v/>
      </c>
      <c r="H84" s="38" t="str">
        <f t="shared" si="7"/>
        <v>NOT ELIGIBLE – No Business Plan exists</v>
      </c>
    </row>
    <row r="85" spans="1:8" ht="40.200000000000003" customHeight="1" x14ac:dyDescent="0.3">
      <c r="A85" s="39">
        <f t="shared" si="4"/>
        <v>84</v>
      </c>
      <c r="F85" s="43" t="str">
        <f t="shared" si="5"/>
        <v/>
      </c>
      <c r="G85" s="44" t="str">
        <f t="shared" si="6"/>
        <v/>
      </c>
      <c r="H85" s="38" t="str">
        <f t="shared" si="7"/>
        <v>NOT ELIGIBLE – No Business Plan exists</v>
      </c>
    </row>
    <row r="86" spans="1:8" ht="40.200000000000003" customHeight="1" x14ac:dyDescent="0.3">
      <c r="A86" s="28"/>
    </row>
  </sheetData>
  <mergeCells count="1">
    <mergeCell ref="J3:L3"/>
  </mergeCells>
  <conditionalFormatting sqref="A11:A85">
    <cfRule type="expression" dxfId="120" priority="6">
      <formula>$B86="No"</formula>
    </cfRule>
  </conditionalFormatting>
  <conditionalFormatting sqref="B1:H6 A1:A10 F7:H22">
    <cfRule type="expression" dxfId="119" priority="2">
      <formula>$C2="No"</formula>
    </cfRule>
  </conditionalFormatting>
  <conditionalFormatting sqref="C7:E85">
    <cfRule type="expression" dxfId="118" priority="4">
      <formula>$B86="No"</formula>
    </cfRule>
  </conditionalFormatting>
  <conditionalFormatting sqref="F23:H85">
    <cfRule type="expression" dxfId="117" priority="11">
      <formula>$B86="No"</formula>
    </cfRule>
  </conditionalFormatting>
  <dataValidations count="1">
    <dataValidation type="list" allowBlank="1" showInputMessage="1" showErrorMessage="1" sqref="C1:C1048576" xr:uid="{2A8DE6B7-F3AF-4D64-A252-3EB3F7613869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4"/>
  <sheetViews>
    <sheetView zoomScaleNormal="100" workbookViewId="0">
      <pane xSplit="2" topLeftCell="C1" activePane="topRight" state="frozen"/>
      <selection pane="topRight" activeCell="G51" sqref="G51"/>
    </sheetView>
  </sheetViews>
  <sheetFormatPr defaultColWidth="8.5546875" defaultRowHeight="57.6" customHeight="1" x14ac:dyDescent="0.3"/>
  <cols>
    <col min="1" max="1" width="20" style="47" customWidth="1"/>
    <col min="2" max="2" width="22.44140625" style="47" customWidth="1"/>
    <col min="3" max="3" width="24.6640625" style="56" customWidth="1"/>
    <col min="4" max="4" width="21.5546875" style="47" customWidth="1"/>
    <col min="5" max="5" width="20" style="47" customWidth="1"/>
    <col min="6" max="6" width="22.109375" style="47" customWidth="1"/>
    <col min="7" max="7" width="24.6640625" style="47" customWidth="1"/>
    <col min="8" max="9" width="20" style="47" customWidth="1"/>
    <col min="10" max="10" width="40" style="47" customWidth="1"/>
    <col min="11" max="11" width="17.109375" style="47" customWidth="1"/>
    <col min="12" max="12" width="8.5546875" style="47" customWidth="1"/>
    <col min="13" max="16384" width="8.5546875" style="47"/>
  </cols>
  <sheetData>
    <row r="1" spans="1:11" ht="57.6" customHeight="1" x14ac:dyDescent="0.3">
      <c r="A1" s="42" t="s">
        <v>0</v>
      </c>
      <c r="B1" s="42" t="s">
        <v>1</v>
      </c>
      <c r="C1" s="42" t="s">
        <v>15</v>
      </c>
      <c r="D1" s="42" t="s">
        <v>138</v>
      </c>
      <c r="E1" s="42" t="s">
        <v>139</v>
      </c>
      <c r="F1" s="42" t="s">
        <v>140</v>
      </c>
      <c r="G1" s="42" t="s">
        <v>18</v>
      </c>
      <c r="H1" s="42" t="s">
        <v>19</v>
      </c>
      <c r="I1" s="42" t="s">
        <v>141</v>
      </c>
      <c r="J1" s="42" t="s">
        <v>142</v>
      </c>
      <c r="K1" s="42" t="s">
        <v>126</v>
      </c>
    </row>
    <row r="2" spans="1:11" ht="57.6" customHeight="1" x14ac:dyDescent="0.3">
      <c r="A2" s="38">
        <v>1</v>
      </c>
      <c r="B2" s="40" t="s">
        <v>48</v>
      </c>
      <c r="C2" s="38"/>
      <c r="D2" s="38">
        <v>1500</v>
      </c>
      <c r="E2" s="38"/>
      <c r="F2" s="38">
        <v>30</v>
      </c>
      <c r="G2" s="43" t="str">
        <f t="shared" ref="G2:G65" si="0">IF(AND(D2&gt;0,E2&gt;0,F2&gt;0),(D2*1000)/(E2*F2),"")</f>
        <v/>
      </c>
      <c r="H2" s="38" t="str">
        <f>IF(C2="Gravity",120,IF(C2="Pumped",100,IF(C2="Rural",45," ")))</f>
        <v xml:space="preserve"> </v>
      </c>
      <c r="I2" s="43" t="str">
        <f>IF(AND(G2&lt;&gt;"",H2&gt;0),G2/H2*100,"")</f>
        <v/>
      </c>
      <c r="J2" s="44" t="str">
        <f>IF(I2="","",IF(C2="Rural",IF(I2&gt;=45,1,IF(AND(I2&gt;=20,I2&lt;45),(I2-19.99)/25,0)),IF(I2&gt;=100,1,IF(AND(I2&gt;=45,I2&lt;100),(I2-45)/55,0))))</f>
        <v/>
      </c>
      <c r="K2" s="38" t="str">
        <f>IF(J2="","",IF(J2=1,"Fully compliant with benchmark",IF(J2=0,"Non-compliant; below minimum threshold","Partially compliant; improving progressively")))</f>
        <v/>
      </c>
    </row>
    <row r="3" spans="1:11" ht="57.6" customHeight="1" x14ac:dyDescent="0.3">
      <c r="A3" s="39">
        <f t="shared" ref="A3:A66" si="1">A2+1</f>
        <v>2</v>
      </c>
      <c r="B3" s="41" t="s">
        <v>54</v>
      </c>
      <c r="C3" s="38" t="s">
        <v>288</v>
      </c>
      <c r="D3" s="39">
        <v>2055</v>
      </c>
      <c r="E3" s="39">
        <v>15000</v>
      </c>
      <c r="F3" s="39">
        <v>30</v>
      </c>
      <c r="G3" s="45">
        <f t="shared" si="0"/>
        <v>4.5666666666666664</v>
      </c>
      <c r="H3" s="38">
        <f t="shared" ref="H3:H66" si="2">IF(C3="Gravity",120,IF(C3="Pumped",100,IF(C3="Rural",45," ")))</f>
        <v>120</v>
      </c>
      <c r="I3" s="45">
        <f>IF(AND(G3&lt;&gt;"",H3&gt;0),G3/H3*100,"")</f>
        <v>3.8055555555555549</v>
      </c>
      <c r="J3" s="46">
        <f>IF(I3="","",IF(C3="Rural",IF(I3&gt;=45,1,IF(AND(I3&gt;=20,I3&lt;45),(I3-19.99)/25,0)),IF(I3&gt;=100,1,IF(AND(I3&gt;=45,I3&lt;100),(I3-45)/55,0))))</f>
        <v>0</v>
      </c>
      <c r="K3" s="39" t="str">
        <f>IF(J3="","",IF(J3=1,"Fully compliant with benchmark",IF(J3=0,"Non-compliant; below minimum threshold","Partially compliant; improving progressively")))</f>
        <v>Non-compliant; below minimum threshold</v>
      </c>
    </row>
    <row r="4" spans="1:11" ht="57.6" customHeight="1" x14ac:dyDescent="0.3">
      <c r="A4" s="39">
        <f t="shared" si="1"/>
        <v>3</v>
      </c>
      <c r="B4" s="40" t="s">
        <v>57</v>
      </c>
      <c r="C4" s="38"/>
      <c r="D4" s="38">
        <v>12500</v>
      </c>
      <c r="E4" s="38">
        <v>90000</v>
      </c>
      <c r="F4" s="38">
        <v>30</v>
      </c>
      <c r="G4" s="43">
        <f t="shared" si="0"/>
        <v>4.6296296296296298</v>
      </c>
      <c r="H4" s="38" t="str">
        <f t="shared" si="2"/>
        <v xml:space="preserve"> </v>
      </c>
      <c r="I4" s="45" t="e">
        <f t="shared" ref="I4:I5" si="3">IF(AND(G4&lt;&gt;"",H4&gt;0),G4/H4*100,"")</f>
        <v>#VALUE!</v>
      </c>
      <c r="J4" s="44" t="e">
        <f>IF(I4="","",IF(C4="Rural",IF(I4&gt;=45,1,IF(AND(I4&gt;=20,I4&lt;45),(I4-19.99)/25,0)),IF(I4&gt;=100,1,IF(AND(I4&gt;=45,I4&lt;100),(I4-45)/55,0))))</f>
        <v>#VALUE!</v>
      </c>
      <c r="K4" s="38" t="e">
        <f>IF(J4="","",IF(J4=1,"Fully compliant with benchmark",IF(J4=0,"Non-compliant; below minimum threshold","Partially compliant; improving progressively")))</f>
        <v>#VALUE!</v>
      </c>
    </row>
    <row r="5" spans="1:11" ht="57.6" customHeight="1" x14ac:dyDescent="0.3">
      <c r="A5" s="39">
        <f t="shared" si="1"/>
        <v>4</v>
      </c>
      <c r="B5" s="41" t="s">
        <v>61</v>
      </c>
      <c r="C5" s="38" t="s">
        <v>287</v>
      </c>
      <c r="D5" s="39">
        <v>437</v>
      </c>
      <c r="E5" s="39">
        <v>11000</v>
      </c>
      <c r="F5" s="39">
        <v>30</v>
      </c>
      <c r="G5" s="45">
        <f t="shared" si="0"/>
        <v>1.3242424242424242</v>
      </c>
      <c r="H5" s="38">
        <f t="shared" si="2"/>
        <v>100</v>
      </c>
      <c r="I5" s="45">
        <f t="shared" si="3"/>
        <v>1.3242424242424242</v>
      </c>
      <c r="J5" s="46">
        <f>IF(I5="","",IF(C5="Rural",IF(I5&gt;=45,1,IF(AND(I5&gt;=20,I5&lt;45),(I5-19.99)/25,0)),IF(I5&gt;=100,1,IF(AND(I5&gt;=45,I5&lt;100),(I5-45)/55,0))))</f>
        <v>0</v>
      </c>
      <c r="K5" s="39" t="str">
        <f>IF(J5="","",IF(J5=1,"Fully compliant with benchmark",IF(J5=0,"Non-compliant; below minimum threshold","Partially compliant; improving progressively")))</f>
        <v>Non-compliant; below minimum threshold</v>
      </c>
    </row>
    <row r="6" spans="1:11" ht="57.6" customHeight="1" x14ac:dyDescent="0.3">
      <c r="A6" s="39">
        <f t="shared" si="1"/>
        <v>5</v>
      </c>
      <c r="B6" s="40" t="s">
        <v>64</v>
      </c>
      <c r="C6" s="38"/>
      <c r="D6" s="38">
        <v>1220</v>
      </c>
      <c r="E6" s="38"/>
      <c r="F6" s="38">
        <v>30</v>
      </c>
      <c r="G6" s="43" t="str">
        <f t="shared" si="0"/>
        <v/>
      </c>
      <c r="H6" s="38" t="str">
        <f t="shared" si="2"/>
        <v xml:space="preserve"> </v>
      </c>
      <c r="I6" s="43" t="str">
        <f>IF(AND(G6&lt;&gt;"",H6&gt;0),G6/H6*100,"")</f>
        <v/>
      </c>
      <c r="J6" s="44" t="str">
        <f>IF(I6="","",IF(C6="Rural",IF(I6&gt;=45,1,IF(AND(I6&gt;=20,I6&lt;45),(I6-19.99)/25,0)),IF(I6&gt;=100,1,IF(AND(I6&gt;=45,I6&lt;100),(I6-45)/55,0))))</f>
        <v/>
      </c>
      <c r="K6" s="38" t="str">
        <f>IF(J6="","",IF(J6=1,"Fully compliant with benchmark",IF(J6=0,"Non-compliant; below minimum threshold","Partially compliant; improving progressively")))</f>
        <v/>
      </c>
    </row>
    <row r="7" spans="1:11" ht="57.6" customHeight="1" x14ac:dyDescent="0.3">
      <c r="A7" s="39">
        <f t="shared" si="1"/>
        <v>6</v>
      </c>
      <c r="B7" s="47" t="s">
        <v>66</v>
      </c>
      <c r="C7" s="38"/>
      <c r="D7" s="47">
        <v>2500</v>
      </c>
      <c r="E7" s="47">
        <v>19000</v>
      </c>
      <c r="F7" s="38">
        <v>30</v>
      </c>
      <c r="G7" s="43">
        <f t="shared" si="0"/>
        <v>4.3859649122807021</v>
      </c>
      <c r="H7" s="38" t="str">
        <f t="shared" si="2"/>
        <v xml:space="preserve"> </v>
      </c>
      <c r="I7" s="43" t="e">
        <f t="shared" ref="I7:I70" si="4">IF(AND(G7&lt;&gt;"",H7&gt;0),G7/H7*100,"")</f>
        <v>#VALUE!</v>
      </c>
      <c r="J7" s="44" t="e">
        <f t="shared" ref="J7:J70" si="5">IF(I7="","",IF(C7="Rural",IF(I7&gt;=45,1,IF(AND(I7&gt;=20,I7&lt;45),(I7-19.99)/25,0)),IF(I7&gt;=100,1,IF(AND(I7&gt;=45,I7&lt;100),(I7-45)/55,0))))</f>
        <v>#VALUE!</v>
      </c>
      <c r="K7" s="38" t="e">
        <f t="shared" ref="K7:K70" si="6">IF(J7="","",IF(J7=1,"Fully compliant with benchmark",IF(J7=0,"Non-compliant; below minimum threshold","Partially compliant; improving progressively")))</f>
        <v>#VALUE!</v>
      </c>
    </row>
    <row r="8" spans="1:11" ht="57.6" customHeight="1" x14ac:dyDescent="0.3">
      <c r="A8" s="39">
        <f t="shared" si="1"/>
        <v>7</v>
      </c>
      <c r="B8" s="47" t="s">
        <v>69</v>
      </c>
      <c r="C8" s="38"/>
      <c r="D8" s="47">
        <v>2000</v>
      </c>
      <c r="F8" s="38">
        <v>30</v>
      </c>
      <c r="G8" s="43" t="str">
        <f t="shared" si="0"/>
        <v/>
      </c>
      <c r="H8" s="38" t="str">
        <f t="shared" si="2"/>
        <v xml:space="preserve"> </v>
      </c>
      <c r="I8" s="43" t="str">
        <f t="shared" si="4"/>
        <v/>
      </c>
      <c r="J8" s="44" t="str">
        <f t="shared" si="5"/>
        <v/>
      </c>
      <c r="K8" s="38" t="str">
        <f t="shared" si="6"/>
        <v/>
      </c>
    </row>
    <row r="9" spans="1:11" ht="57.6" customHeight="1" x14ac:dyDescent="0.3">
      <c r="A9" s="39">
        <f t="shared" si="1"/>
        <v>8</v>
      </c>
      <c r="B9" s="47" t="s">
        <v>73</v>
      </c>
      <c r="C9" s="38"/>
      <c r="D9" s="47">
        <v>1300</v>
      </c>
      <c r="F9" s="38">
        <v>30</v>
      </c>
      <c r="G9" s="43" t="str">
        <f t="shared" si="0"/>
        <v/>
      </c>
      <c r="H9" s="38" t="str">
        <f t="shared" si="2"/>
        <v xml:space="preserve"> </v>
      </c>
      <c r="I9" s="43" t="str">
        <f t="shared" si="4"/>
        <v/>
      </c>
      <c r="J9" s="44" t="str">
        <f t="shared" si="5"/>
        <v/>
      </c>
      <c r="K9" s="38" t="str">
        <f t="shared" si="6"/>
        <v/>
      </c>
    </row>
    <row r="10" spans="1:11" ht="57.6" customHeight="1" x14ac:dyDescent="0.3">
      <c r="A10" s="39">
        <f t="shared" si="1"/>
        <v>9</v>
      </c>
      <c r="B10" s="47" t="s">
        <v>75</v>
      </c>
      <c r="C10" s="38"/>
      <c r="F10" s="38">
        <v>30</v>
      </c>
      <c r="G10" s="43" t="str">
        <f t="shared" si="0"/>
        <v/>
      </c>
      <c r="H10" s="38" t="str">
        <f t="shared" si="2"/>
        <v xml:space="preserve"> </v>
      </c>
      <c r="I10" s="43" t="str">
        <f t="shared" si="4"/>
        <v/>
      </c>
      <c r="J10" s="44" t="str">
        <f t="shared" si="5"/>
        <v/>
      </c>
      <c r="K10" s="38" t="str">
        <f t="shared" si="6"/>
        <v/>
      </c>
    </row>
    <row r="11" spans="1:11" ht="57.6" customHeight="1" x14ac:dyDescent="0.3">
      <c r="A11" s="39">
        <f t="shared" si="1"/>
        <v>10</v>
      </c>
      <c r="B11" s="47" t="s">
        <v>78</v>
      </c>
      <c r="C11" s="38"/>
      <c r="D11" s="47">
        <v>675</v>
      </c>
      <c r="F11" s="38">
        <v>30</v>
      </c>
      <c r="G11" s="43" t="str">
        <f t="shared" si="0"/>
        <v/>
      </c>
      <c r="H11" s="38" t="str">
        <f t="shared" si="2"/>
        <v xml:space="preserve"> </v>
      </c>
      <c r="I11" s="43" t="str">
        <f t="shared" si="4"/>
        <v/>
      </c>
      <c r="J11" s="44" t="str">
        <f t="shared" si="5"/>
        <v/>
      </c>
      <c r="K11" s="38" t="str">
        <f t="shared" si="6"/>
        <v/>
      </c>
    </row>
    <row r="12" spans="1:11" ht="57.6" customHeight="1" x14ac:dyDescent="0.3">
      <c r="A12" s="39">
        <f t="shared" si="1"/>
        <v>11</v>
      </c>
      <c r="B12" s="28" t="s">
        <v>80</v>
      </c>
      <c r="C12" s="38"/>
      <c r="G12" s="43" t="str">
        <f t="shared" si="0"/>
        <v/>
      </c>
      <c r="H12" s="38" t="str">
        <f t="shared" si="2"/>
        <v xml:space="preserve"> </v>
      </c>
      <c r="I12" s="43" t="str">
        <f t="shared" si="4"/>
        <v/>
      </c>
      <c r="J12" s="44" t="str">
        <f t="shared" si="5"/>
        <v/>
      </c>
      <c r="K12" s="38" t="str">
        <f t="shared" si="6"/>
        <v/>
      </c>
    </row>
    <row r="13" spans="1:11" ht="57.6" customHeight="1" x14ac:dyDescent="0.3">
      <c r="A13" s="39">
        <f t="shared" si="1"/>
        <v>12</v>
      </c>
      <c r="B13" s="28" t="s">
        <v>82</v>
      </c>
      <c r="C13" s="38"/>
      <c r="G13" s="43" t="str">
        <f t="shared" si="0"/>
        <v/>
      </c>
      <c r="H13" s="38" t="str">
        <f t="shared" si="2"/>
        <v xml:space="preserve"> </v>
      </c>
      <c r="I13" s="43" t="str">
        <f t="shared" si="4"/>
        <v/>
      </c>
      <c r="J13" s="44" t="str">
        <f t="shared" si="5"/>
        <v/>
      </c>
      <c r="K13" s="38" t="str">
        <f t="shared" si="6"/>
        <v/>
      </c>
    </row>
    <row r="14" spans="1:11" ht="57.6" customHeight="1" x14ac:dyDescent="0.3">
      <c r="A14" s="39">
        <f t="shared" si="1"/>
        <v>13</v>
      </c>
      <c r="B14" s="28" t="s">
        <v>84</v>
      </c>
      <c r="C14" s="38"/>
      <c r="G14" s="43" t="str">
        <f t="shared" si="0"/>
        <v/>
      </c>
      <c r="H14" s="38" t="str">
        <f t="shared" si="2"/>
        <v xml:space="preserve"> </v>
      </c>
      <c r="I14" s="43" t="str">
        <f t="shared" si="4"/>
        <v/>
      </c>
      <c r="J14" s="44" t="str">
        <f t="shared" si="5"/>
        <v/>
      </c>
      <c r="K14" s="38" t="str">
        <f t="shared" si="6"/>
        <v/>
      </c>
    </row>
    <row r="15" spans="1:11" ht="57.6" customHeight="1" x14ac:dyDescent="0.3">
      <c r="A15" s="39">
        <f t="shared" si="1"/>
        <v>14</v>
      </c>
      <c r="B15" s="28" t="s">
        <v>86</v>
      </c>
      <c r="C15" s="38"/>
      <c r="G15" s="43" t="str">
        <f t="shared" si="0"/>
        <v/>
      </c>
      <c r="H15" s="38" t="str">
        <f t="shared" si="2"/>
        <v xml:space="preserve"> </v>
      </c>
      <c r="I15" s="43" t="str">
        <f t="shared" si="4"/>
        <v/>
      </c>
      <c r="J15" s="44" t="str">
        <f t="shared" si="5"/>
        <v/>
      </c>
      <c r="K15" s="38" t="str">
        <f t="shared" si="6"/>
        <v/>
      </c>
    </row>
    <row r="16" spans="1:11" ht="57.6" customHeight="1" x14ac:dyDescent="0.3">
      <c r="A16" s="39">
        <f t="shared" si="1"/>
        <v>15</v>
      </c>
      <c r="B16" s="28" t="s">
        <v>88</v>
      </c>
      <c r="C16" s="38"/>
      <c r="G16" s="43" t="str">
        <f t="shared" si="0"/>
        <v/>
      </c>
      <c r="H16" s="38" t="str">
        <f t="shared" si="2"/>
        <v xml:space="preserve"> </v>
      </c>
      <c r="I16" s="43" t="str">
        <f t="shared" si="4"/>
        <v/>
      </c>
      <c r="J16" s="44" t="str">
        <f t="shared" si="5"/>
        <v/>
      </c>
      <c r="K16" s="38" t="str">
        <f t="shared" si="6"/>
        <v/>
      </c>
    </row>
    <row r="17" spans="1:11" ht="57.6" customHeight="1" x14ac:dyDescent="0.3">
      <c r="A17" s="39">
        <f t="shared" si="1"/>
        <v>16</v>
      </c>
      <c r="B17" s="28" t="s">
        <v>90</v>
      </c>
      <c r="C17" s="38"/>
      <c r="G17" s="43" t="str">
        <f t="shared" si="0"/>
        <v/>
      </c>
      <c r="H17" s="38" t="str">
        <f t="shared" si="2"/>
        <v xml:space="preserve"> </v>
      </c>
      <c r="I17" s="43" t="str">
        <f t="shared" si="4"/>
        <v/>
      </c>
      <c r="J17" s="44" t="str">
        <f t="shared" si="5"/>
        <v/>
      </c>
      <c r="K17" s="38" t="str">
        <f t="shared" si="6"/>
        <v/>
      </c>
    </row>
    <row r="18" spans="1:11" ht="57.6" customHeight="1" x14ac:dyDescent="0.3">
      <c r="A18" s="39">
        <f t="shared" si="1"/>
        <v>17</v>
      </c>
      <c r="B18" s="28" t="s">
        <v>91</v>
      </c>
      <c r="C18" s="38"/>
      <c r="G18" s="43" t="str">
        <f t="shared" si="0"/>
        <v/>
      </c>
      <c r="H18" s="38" t="str">
        <f t="shared" si="2"/>
        <v xml:space="preserve"> </v>
      </c>
      <c r="I18" s="43" t="str">
        <f t="shared" si="4"/>
        <v/>
      </c>
      <c r="J18" s="44" t="str">
        <f t="shared" si="5"/>
        <v/>
      </c>
      <c r="K18" s="38" t="str">
        <f t="shared" si="6"/>
        <v/>
      </c>
    </row>
    <row r="19" spans="1:11" ht="57.6" customHeight="1" x14ac:dyDescent="0.3">
      <c r="A19" s="39">
        <f t="shared" si="1"/>
        <v>18</v>
      </c>
      <c r="B19" s="28" t="s">
        <v>92</v>
      </c>
      <c r="C19" s="38"/>
      <c r="G19" s="43" t="str">
        <f t="shared" si="0"/>
        <v/>
      </c>
      <c r="H19" s="38" t="str">
        <f t="shared" si="2"/>
        <v xml:space="preserve"> </v>
      </c>
      <c r="I19" s="43" t="str">
        <f t="shared" si="4"/>
        <v/>
      </c>
      <c r="J19" s="44" t="str">
        <f t="shared" si="5"/>
        <v/>
      </c>
      <c r="K19" s="38" t="str">
        <f t="shared" si="6"/>
        <v/>
      </c>
    </row>
    <row r="20" spans="1:11" ht="57.6" customHeight="1" x14ac:dyDescent="0.3">
      <c r="A20" s="39">
        <f t="shared" si="1"/>
        <v>19</v>
      </c>
      <c r="B20" s="28" t="s">
        <v>93</v>
      </c>
      <c r="C20" s="38"/>
      <c r="G20" s="43" t="str">
        <f t="shared" si="0"/>
        <v/>
      </c>
      <c r="H20" s="38" t="str">
        <f t="shared" si="2"/>
        <v xml:space="preserve"> </v>
      </c>
      <c r="I20" s="43" t="str">
        <f t="shared" si="4"/>
        <v/>
      </c>
      <c r="J20" s="44" t="str">
        <f>IF(I20="","",IF(C20="Rural",IF(I20&gt;=45,1,IF(AND(I20&gt;=20,I20&lt;45),(I20-19.99)/25,0)),IF(I20&gt;=100,1,IF(AND(I20&gt;=45,I20&lt;100),(I20-45)/55,0))))</f>
        <v/>
      </c>
      <c r="K20" s="38" t="str">
        <f t="shared" si="6"/>
        <v/>
      </c>
    </row>
    <row r="21" spans="1:11" ht="57.6" customHeight="1" x14ac:dyDescent="0.3">
      <c r="A21" s="39">
        <f t="shared" si="1"/>
        <v>20</v>
      </c>
      <c r="B21" s="28" t="s">
        <v>94</v>
      </c>
      <c r="C21" s="38"/>
      <c r="G21" s="43" t="str">
        <f t="shared" si="0"/>
        <v/>
      </c>
      <c r="H21" s="38" t="str">
        <f t="shared" si="2"/>
        <v xml:space="preserve"> </v>
      </c>
      <c r="I21" s="43" t="str">
        <f t="shared" si="4"/>
        <v/>
      </c>
      <c r="J21" s="44" t="str">
        <f t="shared" si="5"/>
        <v/>
      </c>
      <c r="K21" s="38" t="str">
        <f t="shared" si="6"/>
        <v/>
      </c>
    </row>
    <row r="22" spans="1:11" ht="57.6" customHeight="1" x14ac:dyDescent="0.3">
      <c r="A22" s="39">
        <f t="shared" si="1"/>
        <v>21</v>
      </c>
      <c r="B22" s="28" t="s">
        <v>96</v>
      </c>
      <c r="C22" s="38"/>
      <c r="G22" s="43" t="str">
        <f t="shared" si="0"/>
        <v/>
      </c>
      <c r="H22" s="38" t="str">
        <f t="shared" si="2"/>
        <v xml:space="preserve"> </v>
      </c>
      <c r="I22" s="43" t="str">
        <f t="shared" si="4"/>
        <v/>
      </c>
      <c r="J22" s="44" t="str">
        <f t="shared" si="5"/>
        <v/>
      </c>
      <c r="K22" s="38" t="str">
        <f t="shared" si="6"/>
        <v/>
      </c>
    </row>
    <row r="23" spans="1:11" ht="57.6" customHeight="1" x14ac:dyDescent="0.3">
      <c r="A23" s="39">
        <f t="shared" si="1"/>
        <v>22</v>
      </c>
      <c r="B23" s="28" t="s">
        <v>97</v>
      </c>
      <c r="C23" s="38"/>
      <c r="G23" s="43" t="str">
        <f t="shared" si="0"/>
        <v/>
      </c>
      <c r="H23" s="38" t="str">
        <f t="shared" si="2"/>
        <v xml:space="preserve"> </v>
      </c>
      <c r="I23" s="43" t="str">
        <f t="shared" si="4"/>
        <v/>
      </c>
      <c r="J23" s="44" t="str">
        <f t="shared" si="5"/>
        <v/>
      </c>
      <c r="K23" s="38" t="str">
        <f>IF(J23="","",IF(J23=1,"Fully compliant with benchmark",IF(J23=0,"Non-compliant; below minimum threshold","Partially compliant; improving progressively")))</f>
        <v/>
      </c>
    </row>
    <row r="24" spans="1:11" ht="57.6" customHeight="1" x14ac:dyDescent="0.3">
      <c r="A24" s="39">
        <f t="shared" si="1"/>
        <v>23</v>
      </c>
      <c r="B24" s="28" t="s">
        <v>99</v>
      </c>
      <c r="C24" s="38"/>
      <c r="G24" s="43" t="str">
        <f t="shared" si="0"/>
        <v/>
      </c>
      <c r="H24" s="38" t="str">
        <f t="shared" si="2"/>
        <v xml:space="preserve"> </v>
      </c>
      <c r="I24" s="43" t="str">
        <f t="shared" si="4"/>
        <v/>
      </c>
      <c r="J24" s="44" t="str">
        <f t="shared" si="5"/>
        <v/>
      </c>
      <c r="K24" s="38" t="str">
        <f t="shared" si="6"/>
        <v/>
      </c>
    </row>
    <row r="25" spans="1:11" ht="57.6" customHeight="1" x14ac:dyDescent="0.3">
      <c r="A25" s="39">
        <f t="shared" si="1"/>
        <v>24</v>
      </c>
      <c r="B25" s="28" t="s">
        <v>100</v>
      </c>
      <c r="C25" s="38"/>
      <c r="D25" s="28"/>
      <c r="E25" s="28"/>
      <c r="F25" s="28"/>
      <c r="G25" s="43" t="str">
        <f t="shared" si="0"/>
        <v/>
      </c>
      <c r="H25" s="38" t="str">
        <f t="shared" si="2"/>
        <v xml:space="preserve"> </v>
      </c>
      <c r="I25" s="43" t="str">
        <f t="shared" si="4"/>
        <v/>
      </c>
      <c r="J25" s="44" t="str">
        <f>IF(I25="","",IF(C25="Rural",IF(I25&gt;=45,1,IF(AND(I25&gt;=20,I25&lt;45),(I25-19.99)/25,0)),IF(I25&gt;=100,1,IF(AND(I25&gt;=45,I25&lt;100),(I25-45)/55,0))))</f>
        <v/>
      </c>
      <c r="K25" s="38" t="str">
        <f t="shared" si="6"/>
        <v/>
      </c>
    </row>
    <row r="26" spans="1:11" ht="57.6" customHeight="1" x14ac:dyDescent="0.3">
      <c r="A26" s="39">
        <f t="shared" si="1"/>
        <v>25</v>
      </c>
      <c r="B26" s="28" t="s">
        <v>103</v>
      </c>
      <c r="C26" s="38"/>
      <c r="G26" s="43" t="str">
        <f t="shared" si="0"/>
        <v/>
      </c>
      <c r="H26" s="38" t="str">
        <f t="shared" si="2"/>
        <v xml:space="preserve"> </v>
      </c>
      <c r="I26" s="43" t="str">
        <f t="shared" si="4"/>
        <v/>
      </c>
      <c r="J26" s="44" t="str">
        <f t="shared" si="5"/>
        <v/>
      </c>
      <c r="K26" s="38" t="str">
        <f t="shared" si="6"/>
        <v/>
      </c>
    </row>
    <row r="27" spans="1:11" ht="57.6" customHeight="1" x14ac:dyDescent="0.3">
      <c r="A27" s="39">
        <f t="shared" si="1"/>
        <v>26</v>
      </c>
      <c r="B27" s="28" t="s">
        <v>105</v>
      </c>
      <c r="C27" s="38"/>
      <c r="G27" s="43" t="str">
        <f t="shared" si="0"/>
        <v/>
      </c>
      <c r="H27" s="38" t="str">
        <f t="shared" si="2"/>
        <v xml:space="preserve"> </v>
      </c>
      <c r="I27" s="43" t="str">
        <f t="shared" si="4"/>
        <v/>
      </c>
      <c r="J27" s="44" t="str">
        <f t="shared" si="5"/>
        <v/>
      </c>
      <c r="K27" s="38" t="str">
        <f t="shared" si="6"/>
        <v/>
      </c>
    </row>
    <row r="28" spans="1:11" ht="57.6" customHeight="1" x14ac:dyDescent="0.3">
      <c r="A28" s="39">
        <f t="shared" si="1"/>
        <v>27</v>
      </c>
      <c r="B28" s="28" t="s">
        <v>107</v>
      </c>
      <c r="C28" s="38"/>
      <c r="G28" s="43" t="str">
        <f t="shared" si="0"/>
        <v/>
      </c>
      <c r="H28" s="38" t="str">
        <f t="shared" si="2"/>
        <v xml:space="preserve"> </v>
      </c>
      <c r="I28" s="43" t="str">
        <f t="shared" si="4"/>
        <v/>
      </c>
      <c r="J28" s="44" t="str">
        <f t="shared" si="5"/>
        <v/>
      </c>
      <c r="K28" s="38" t="str">
        <f t="shared" si="6"/>
        <v/>
      </c>
    </row>
    <row r="29" spans="1:11" ht="57.6" customHeight="1" x14ac:dyDescent="0.3">
      <c r="A29" s="39">
        <f t="shared" si="1"/>
        <v>28</v>
      </c>
      <c r="B29" s="28" t="s">
        <v>110</v>
      </c>
      <c r="C29" s="38"/>
      <c r="G29" s="43" t="str">
        <f t="shared" si="0"/>
        <v/>
      </c>
      <c r="H29" s="38" t="str">
        <f t="shared" si="2"/>
        <v xml:space="preserve"> </v>
      </c>
      <c r="I29" s="43" t="str">
        <f t="shared" si="4"/>
        <v/>
      </c>
      <c r="J29" s="44" t="str">
        <f t="shared" si="5"/>
        <v/>
      </c>
      <c r="K29" s="38" t="str">
        <f t="shared" si="6"/>
        <v/>
      </c>
    </row>
    <row r="30" spans="1:11" ht="57.6" customHeight="1" x14ac:dyDescent="0.3">
      <c r="A30" s="39">
        <f t="shared" si="1"/>
        <v>29</v>
      </c>
      <c r="B30" s="28" t="s">
        <v>111</v>
      </c>
      <c r="C30" s="38"/>
      <c r="G30" s="43" t="str">
        <f t="shared" si="0"/>
        <v/>
      </c>
      <c r="H30" s="38" t="str">
        <f t="shared" si="2"/>
        <v xml:space="preserve"> </v>
      </c>
      <c r="I30" s="43" t="str">
        <f t="shared" si="4"/>
        <v/>
      </c>
      <c r="J30" s="44" t="str">
        <f t="shared" si="5"/>
        <v/>
      </c>
      <c r="K30" s="38" t="str">
        <f t="shared" si="6"/>
        <v/>
      </c>
    </row>
    <row r="31" spans="1:11" ht="57.6" customHeight="1" x14ac:dyDescent="0.3">
      <c r="A31" s="39">
        <f t="shared" si="1"/>
        <v>30</v>
      </c>
      <c r="B31" s="28" t="s">
        <v>84</v>
      </c>
      <c r="C31" s="38"/>
      <c r="G31" s="43" t="str">
        <f t="shared" si="0"/>
        <v/>
      </c>
      <c r="H31" s="38" t="str">
        <f t="shared" si="2"/>
        <v xml:space="preserve"> </v>
      </c>
      <c r="I31" s="43" t="str">
        <f t="shared" si="4"/>
        <v/>
      </c>
      <c r="J31" s="44" t="str">
        <f t="shared" si="5"/>
        <v/>
      </c>
      <c r="K31" s="38" t="str">
        <f t="shared" si="6"/>
        <v/>
      </c>
    </row>
    <row r="32" spans="1:11" ht="57.6" customHeight="1" x14ac:dyDescent="0.3">
      <c r="A32" s="39">
        <f t="shared" si="1"/>
        <v>31</v>
      </c>
      <c r="B32" s="28" t="s">
        <v>113</v>
      </c>
      <c r="C32" s="38"/>
      <c r="G32" s="43" t="str">
        <f t="shared" si="0"/>
        <v/>
      </c>
      <c r="H32" s="38" t="str">
        <f t="shared" si="2"/>
        <v xml:space="preserve"> </v>
      </c>
      <c r="I32" s="43" t="str">
        <f t="shared" si="4"/>
        <v/>
      </c>
      <c r="J32" s="44" t="str">
        <f t="shared" si="5"/>
        <v/>
      </c>
      <c r="K32" s="38" t="str">
        <f t="shared" si="6"/>
        <v/>
      </c>
    </row>
    <row r="33" spans="1:11" ht="57.6" customHeight="1" x14ac:dyDescent="0.3">
      <c r="A33" s="39">
        <f t="shared" si="1"/>
        <v>32</v>
      </c>
      <c r="B33" s="28" t="s">
        <v>115</v>
      </c>
      <c r="C33" s="38"/>
      <c r="G33" s="43" t="str">
        <f t="shared" si="0"/>
        <v/>
      </c>
      <c r="H33" s="38" t="str">
        <f t="shared" si="2"/>
        <v xml:space="preserve"> </v>
      </c>
      <c r="I33" s="43" t="str">
        <f t="shared" si="4"/>
        <v/>
      </c>
      <c r="J33" s="44" t="str">
        <f>IF(I33="","",IF(C33="Rural",IF(I33&gt;=45,1,IF(AND(I33&gt;=20,I33&lt;45),(I33-19.99)/25,0)),IF(I33&gt;=100,1,IF(AND(I33&gt;=45,I33&lt;100),(I33-45)/55,0))))</f>
        <v/>
      </c>
      <c r="K33" s="38" t="str">
        <f t="shared" si="6"/>
        <v/>
      </c>
    </row>
    <row r="34" spans="1:11" ht="57.6" customHeight="1" x14ac:dyDescent="0.3">
      <c r="A34" s="39">
        <f t="shared" si="1"/>
        <v>33</v>
      </c>
      <c r="B34" s="28" t="s">
        <v>116</v>
      </c>
      <c r="C34" s="38"/>
      <c r="G34" s="43" t="str">
        <f t="shared" si="0"/>
        <v/>
      </c>
      <c r="H34" s="38" t="str">
        <f t="shared" si="2"/>
        <v xml:space="preserve"> </v>
      </c>
      <c r="I34" s="43" t="str">
        <f t="shared" si="4"/>
        <v/>
      </c>
      <c r="J34" s="44" t="str">
        <f t="shared" si="5"/>
        <v/>
      </c>
      <c r="K34" s="38" t="str">
        <f t="shared" si="6"/>
        <v/>
      </c>
    </row>
    <row r="35" spans="1:11" ht="57.6" customHeight="1" x14ac:dyDescent="0.3">
      <c r="A35" s="39">
        <f t="shared" si="1"/>
        <v>34</v>
      </c>
      <c r="B35" s="28" t="s">
        <v>117</v>
      </c>
      <c r="C35" s="38"/>
      <c r="G35" s="43" t="str">
        <f t="shared" si="0"/>
        <v/>
      </c>
      <c r="H35" s="38" t="str">
        <f t="shared" si="2"/>
        <v xml:space="preserve"> </v>
      </c>
      <c r="I35" s="43" t="str">
        <f t="shared" si="4"/>
        <v/>
      </c>
      <c r="J35" s="44" t="str">
        <f t="shared" si="5"/>
        <v/>
      </c>
      <c r="K35" s="38" t="str">
        <f t="shared" si="6"/>
        <v/>
      </c>
    </row>
    <row r="36" spans="1:11" ht="57.6" customHeight="1" x14ac:dyDescent="0.3">
      <c r="A36" s="39">
        <f t="shared" si="1"/>
        <v>35</v>
      </c>
      <c r="B36" s="28" t="s">
        <v>283</v>
      </c>
      <c r="C36" s="38" t="s">
        <v>287</v>
      </c>
      <c r="D36" s="47">
        <v>24000</v>
      </c>
      <c r="E36" s="47">
        <v>9100</v>
      </c>
      <c r="F36" s="47">
        <v>30</v>
      </c>
      <c r="G36" s="43">
        <f t="shared" si="0"/>
        <v>87.912087912087912</v>
      </c>
      <c r="H36" s="38">
        <f t="shared" si="2"/>
        <v>100</v>
      </c>
      <c r="I36" s="43">
        <f t="shared" si="4"/>
        <v>87.912087912087912</v>
      </c>
      <c r="J36" s="44">
        <f t="shared" si="5"/>
        <v>0.78021978021978022</v>
      </c>
      <c r="K36" s="38" t="str">
        <f t="shared" si="6"/>
        <v>Partially compliant; improving progressively</v>
      </c>
    </row>
    <row r="37" spans="1:11" ht="57.6" customHeight="1" x14ac:dyDescent="0.3">
      <c r="A37" s="28">
        <f t="shared" si="1"/>
        <v>36</v>
      </c>
      <c r="B37" s="28" t="s">
        <v>291</v>
      </c>
      <c r="C37" s="28" t="s">
        <v>288</v>
      </c>
      <c r="D37" s="47">
        <v>132000</v>
      </c>
      <c r="E37" s="47">
        <v>11988</v>
      </c>
      <c r="F37" s="47">
        <v>30</v>
      </c>
      <c r="G37" s="43">
        <f t="shared" si="0"/>
        <v>367.0337003670337</v>
      </c>
      <c r="H37" s="38">
        <f t="shared" si="2"/>
        <v>120</v>
      </c>
      <c r="I37" s="43">
        <f t="shared" si="4"/>
        <v>305.8614169725281</v>
      </c>
      <c r="J37" s="44">
        <f t="shared" si="5"/>
        <v>1</v>
      </c>
      <c r="K37" s="38" t="str">
        <f t="shared" si="6"/>
        <v>Fully compliant with benchmark</v>
      </c>
    </row>
    <row r="38" spans="1:11" ht="57.6" customHeight="1" x14ac:dyDescent="0.3">
      <c r="A38" s="28">
        <f t="shared" si="1"/>
        <v>37</v>
      </c>
      <c r="B38" s="28" t="s">
        <v>296</v>
      </c>
      <c r="C38" s="28" t="s">
        <v>288</v>
      </c>
      <c r="D38" s="47">
        <v>16800</v>
      </c>
      <c r="E38" s="47">
        <v>8485</v>
      </c>
      <c r="F38" s="47">
        <v>30</v>
      </c>
      <c r="G38" s="43">
        <f t="shared" si="0"/>
        <v>65.998821449616969</v>
      </c>
      <c r="H38" s="38">
        <f t="shared" si="2"/>
        <v>120</v>
      </c>
      <c r="I38" s="43">
        <f t="shared" si="4"/>
        <v>54.99901787468081</v>
      </c>
      <c r="J38" s="44">
        <f t="shared" si="5"/>
        <v>0.18180032499419654</v>
      </c>
      <c r="K38" s="38" t="str">
        <f t="shared" si="6"/>
        <v>Partially compliant; improving progressively</v>
      </c>
    </row>
    <row r="39" spans="1:11" ht="57.6" customHeight="1" x14ac:dyDescent="0.3">
      <c r="A39" s="28">
        <f t="shared" si="1"/>
        <v>38</v>
      </c>
      <c r="B39" s="28" t="s">
        <v>297</v>
      </c>
      <c r="C39" s="28" t="s">
        <v>288</v>
      </c>
      <c r="D39" s="47">
        <v>75000</v>
      </c>
      <c r="E39" s="47">
        <v>22000</v>
      </c>
      <c r="F39" s="47">
        <v>30</v>
      </c>
      <c r="G39" s="43">
        <f t="shared" si="0"/>
        <v>113.63636363636364</v>
      </c>
      <c r="H39" s="38">
        <f t="shared" si="2"/>
        <v>120</v>
      </c>
      <c r="I39" s="43">
        <f t="shared" si="4"/>
        <v>94.696969696969703</v>
      </c>
      <c r="J39" s="44">
        <f t="shared" si="5"/>
        <v>0.90358126721763099</v>
      </c>
      <c r="K39" s="38" t="str">
        <f t="shared" si="6"/>
        <v>Partially compliant; improving progressively</v>
      </c>
    </row>
    <row r="40" spans="1:11" ht="57.6" customHeight="1" x14ac:dyDescent="0.3">
      <c r="A40" s="28">
        <f t="shared" si="1"/>
        <v>39</v>
      </c>
      <c r="B40" s="28" t="s">
        <v>300</v>
      </c>
      <c r="C40" s="28" t="s">
        <v>287</v>
      </c>
      <c r="D40" s="47">
        <v>6745</v>
      </c>
      <c r="E40" s="47">
        <v>18750</v>
      </c>
      <c r="F40" s="47">
        <v>30</v>
      </c>
      <c r="G40" s="43">
        <f t="shared" si="0"/>
        <v>11.991111111111111</v>
      </c>
      <c r="H40" s="38">
        <f t="shared" si="2"/>
        <v>100</v>
      </c>
      <c r="I40" s="43">
        <f t="shared" si="4"/>
        <v>11.991111111111111</v>
      </c>
      <c r="J40" s="44">
        <f t="shared" si="5"/>
        <v>0</v>
      </c>
      <c r="K40" s="38" t="str">
        <f t="shared" si="6"/>
        <v>Non-compliant; below minimum threshold</v>
      </c>
    </row>
    <row r="41" spans="1:11" ht="57.6" customHeight="1" x14ac:dyDescent="0.3">
      <c r="A41" s="28">
        <f t="shared" si="1"/>
        <v>40</v>
      </c>
      <c r="B41" s="28" t="s">
        <v>306</v>
      </c>
      <c r="C41" s="28" t="s">
        <v>288</v>
      </c>
      <c r="D41" s="47">
        <v>24000</v>
      </c>
      <c r="E41" s="47">
        <v>12500</v>
      </c>
      <c r="F41" s="47">
        <v>30</v>
      </c>
      <c r="G41" s="43">
        <f t="shared" si="0"/>
        <v>64</v>
      </c>
      <c r="H41" s="38">
        <f t="shared" si="2"/>
        <v>120</v>
      </c>
      <c r="I41" s="43">
        <f t="shared" si="4"/>
        <v>53.333333333333336</v>
      </c>
      <c r="J41" s="44">
        <f t="shared" si="5"/>
        <v>0.15151515151515155</v>
      </c>
      <c r="K41" s="38" t="str">
        <f t="shared" si="6"/>
        <v>Partially compliant; improving progressively</v>
      </c>
    </row>
    <row r="42" spans="1:11" ht="57.6" customHeight="1" x14ac:dyDescent="0.3">
      <c r="A42" s="28">
        <f t="shared" si="1"/>
        <v>41</v>
      </c>
      <c r="B42" s="28" t="s">
        <v>308</v>
      </c>
      <c r="C42" s="28" t="s">
        <v>287</v>
      </c>
      <c r="D42" s="28">
        <v>200</v>
      </c>
      <c r="E42" s="28">
        <v>11000</v>
      </c>
      <c r="F42" s="28">
        <v>30</v>
      </c>
      <c r="G42" s="43">
        <f t="shared" si="0"/>
        <v>0.60606060606060608</v>
      </c>
      <c r="H42" s="38">
        <f t="shared" si="2"/>
        <v>100</v>
      </c>
      <c r="I42" s="43">
        <f t="shared" si="4"/>
        <v>0.60606060606060608</v>
      </c>
      <c r="J42" s="44">
        <f t="shared" si="5"/>
        <v>0</v>
      </c>
      <c r="K42" s="38" t="str">
        <f t="shared" si="6"/>
        <v>Non-compliant; below minimum threshold</v>
      </c>
    </row>
    <row r="43" spans="1:11" ht="57.6" customHeight="1" x14ac:dyDescent="0.3">
      <c r="A43" s="28">
        <f t="shared" si="1"/>
        <v>42</v>
      </c>
      <c r="B43" s="28" t="s">
        <v>311</v>
      </c>
      <c r="C43" s="28" t="s">
        <v>287</v>
      </c>
      <c r="D43" s="28"/>
      <c r="E43" s="28"/>
      <c r="F43" s="28"/>
      <c r="G43" s="43" t="str">
        <f t="shared" si="0"/>
        <v/>
      </c>
      <c r="H43" s="38">
        <f t="shared" si="2"/>
        <v>100</v>
      </c>
      <c r="I43" s="43" t="str">
        <f t="shared" si="4"/>
        <v/>
      </c>
      <c r="J43" s="44" t="str">
        <f t="shared" si="5"/>
        <v/>
      </c>
      <c r="K43" s="38" t="str">
        <f t="shared" si="6"/>
        <v/>
      </c>
    </row>
    <row r="44" spans="1:11" ht="57.6" customHeight="1" x14ac:dyDescent="0.3">
      <c r="A44" s="28">
        <f t="shared" si="1"/>
        <v>43</v>
      </c>
      <c r="B44" s="28" t="s">
        <v>315</v>
      </c>
      <c r="C44" s="28" t="s">
        <v>288</v>
      </c>
      <c r="D44" s="28">
        <v>150</v>
      </c>
      <c r="E44" s="28">
        <v>11956</v>
      </c>
      <c r="F44" s="28">
        <v>30</v>
      </c>
      <c r="G44" s="43">
        <f t="shared" si="0"/>
        <v>0.41820006691201073</v>
      </c>
      <c r="H44" s="38">
        <f t="shared" si="2"/>
        <v>120</v>
      </c>
      <c r="I44" s="43">
        <f t="shared" si="4"/>
        <v>0.34850005576000892</v>
      </c>
      <c r="J44" s="44">
        <f t="shared" si="5"/>
        <v>0</v>
      </c>
      <c r="K44" s="38" t="str">
        <f t="shared" si="6"/>
        <v>Non-compliant; below minimum threshold</v>
      </c>
    </row>
    <row r="45" spans="1:11" ht="57.6" customHeight="1" x14ac:dyDescent="0.3">
      <c r="A45" s="28">
        <f t="shared" si="1"/>
        <v>44</v>
      </c>
      <c r="B45" s="28" t="s">
        <v>319</v>
      </c>
      <c r="C45" s="28" t="s">
        <v>287</v>
      </c>
      <c r="D45" s="28"/>
      <c r="E45" s="28">
        <v>2055</v>
      </c>
      <c r="F45" s="28"/>
      <c r="G45" s="43" t="str">
        <f t="shared" si="0"/>
        <v/>
      </c>
      <c r="H45" s="38">
        <f t="shared" si="2"/>
        <v>100</v>
      </c>
      <c r="I45" s="43" t="str">
        <f t="shared" si="4"/>
        <v/>
      </c>
      <c r="J45" s="44" t="str">
        <f t="shared" si="5"/>
        <v/>
      </c>
      <c r="K45" s="38" t="str">
        <f t="shared" si="6"/>
        <v/>
      </c>
    </row>
    <row r="46" spans="1:11" ht="57.6" customHeight="1" x14ac:dyDescent="0.3">
      <c r="A46" s="28">
        <f t="shared" si="1"/>
        <v>45</v>
      </c>
      <c r="B46" s="28" t="s">
        <v>322</v>
      </c>
      <c r="C46" s="28" t="s">
        <v>287</v>
      </c>
      <c r="D46" s="28"/>
      <c r="E46" s="28">
        <v>3879</v>
      </c>
      <c r="F46" s="28">
        <v>30</v>
      </c>
      <c r="G46" s="43" t="str">
        <f t="shared" si="0"/>
        <v/>
      </c>
      <c r="H46" s="38">
        <f t="shared" si="2"/>
        <v>100</v>
      </c>
      <c r="I46" s="43" t="str">
        <f t="shared" si="4"/>
        <v/>
      </c>
      <c r="J46" s="44" t="str">
        <f t="shared" si="5"/>
        <v/>
      </c>
      <c r="K46" s="38" t="str">
        <f t="shared" si="6"/>
        <v/>
      </c>
    </row>
    <row r="47" spans="1:11" ht="57.6" customHeight="1" x14ac:dyDescent="0.3">
      <c r="A47" s="28">
        <f t="shared" si="1"/>
        <v>46</v>
      </c>
      <c r="B47" s="28" t="s">
        <v>326</v>
      </c>
      <c r="C47" s="28"/>
      <c r="D47" s="28"/>
      <c r="E47" s="28">
        <v>559</v>
      </c>
      <c r="F47" s="28">
        <v>30</v>
      </c>
      <c r="G47" s="43" t="str">
        <f t="shared" si="0"/>
        <v/>
      </c>
      <c r="H47" s="38" t="str">
        <f t="shared" si="2"/>
        <v xml:space="preserve"> </v>
      </c>
      <c r="I47" s="43" t="str">
        <f t="shared" si="4"/>
        <v/>
      </c>
      <c r="J47" s="44" t="str">
        <f t="shared" si="5"/>
        <v/>
      </c>
      <c r="K47" s="38" t="str">
        <f t="shared" si="6"/>
        <v/>
      </c>
    </row>
    <row r="48" spans="1:11" ht="57.6" customHeight="1" x14ac:dyDescent="0.3">
      <c r="A48" s="28">
        <f t="shared" si="1"/>
        <v>47</v>
      </c>
      <c r="B48" s="28" t="s">
        <v>327</v>
      </c>
      <c r="C48" s="28"/>
      <c r="D48" s="28"/>
      <c r="E48" s="28">
        <v>559</v>
      </c>
      <c r="F48" s="28"/>
      <c r="G48" s="43" t="str">
        <f t="shared" si="0"/>
        <v/>
      </c>
      <c r="H48" s="38" t="str">
        <f t="shared" si="2"/>
        <v xml:space="preserve"> </v>
      </c>
      <c r="I48" s="43" t="str">
        <f t="shared" si="4"/>
        <v/>
      </c>
      <c r="J48" s="44" t="str">
        <f t="shared" si="5"/>
        <v/>
      </c>
      <c r="K48" s="38" t="str">
        <f t="shared" si="6"/>
        <v/>
      </c>
    </row>
    <row r="49" spans="1:11" ht="57.6" customHeight="1" x14ac:dyDescent="0.3">
      <c r="A49" s="28">
        <f t="shared" si="1"/>
        <v>48</v>
      </c>
      <c r="B49" s="28" t="s">
        <v>330</v>
      </c>
      <c r="C49" s="28" t="s">
        <v>287</v>
      </c>
      <c r="D49" s="28">
        <v>12040</v>
      </c>
      <c r="E49" s="28">
        <v>120000</v>
      </c>
      <c r="F49" s="28">
        <v>30</v>
      </c>
      <c r="G49" s="43">
        <f>IF(AND(D49&gt;0,E49&gt;0,F49&gt;0),(D49*1000)/(E49*F49),"")</f>
        <v>3.3444444444444446</v>
      </c>
      <c r="H49" s="38">
        <f t="shared" si="2"/>
        <v>100</v>
      </c>
      <c r="I49" s="43">
        <f t="shared" si="4"/>
        <v>3.3444444444444441</v>
      </c>
      <c r="J49" s="44">
        <f t="shared" si="5"/>
        <v>0</v>
      </c>
      <c r="K49" s="38" t="str">
        <f t="shared" si="6"/>
        <v>Non-compliant; below minimum threshold</v>
      </c>
    </row>
    <row r="50" spans="1:11" ht="57.6" customHeight="1" x14ac:dyDescent="0.3">
      <c r="A50" s="28">
        <f t="shared" si="1"/>
        <v>49</v>
      </c>
      <c r="B50" s="28" t="str">
        <f>Spatial!B50</f>
        <v>Waling_WSUC</v>
      </c>
      <c r="C50" s="28"/>
      <c r="D50" s="28">
        <v>1100</v>
      </c>
      <c r="E50" s="28">
        <v>30000</v>
      </c>
      <c r="F50" s="28">
        <v>30</v>
      </c>
      <c r="G50" s="43">
        <f t="shared" si="0"/>
        <v>1.2222222222222223</v>
      </c>
      <c r="H50" s="38" t="str">
        <f t="shared" si="2"/>
        <v xml:space="preserve"> </v>
      </c>
      <c r="I50" s="43" t="e">
        <f t="shared" si="4"/>
        <v>#VALUE!</v>
      </c>
      <c r="J50" s="44" t="e">
        <f t="shared" si="5"/>
        <v>#VALUE!</v>
      </c>
      <c r="K50" s="38" t="e">
        <f t="shared" si="6"/>
        <v>#VALUE!</v>
      </c>
    </row>
    <row r="51" spans="1:11" ht="57.6" customHeight="1" x14ac:dyDescent="0.3">
      <c r="A51" s="28">
        <f t="shared" si="1"/>
        <v>50</v>
      </c>
      <c r="B51" s="28" t="str">
        <f>Spatial!B51</f>
        <v>Baglung_WSUC</v>
      </c>
      <c r="C51" s="28"/>
      <c r="D51" s="28">
        <v>2307.8000000000002</v>
      </c>
      <c r="E51" s="28">
        <v>60000</v>
      </c>
      <c r="F51" s="28">
        <v>30</v>
      </c>
      <c r="G51" s="43">
        <f t="shared" si="0"/>
        <v>1.2821111111111112</v>
      </c>
      <c r="H51" s="38" t="str">
        <f t="shared" si="2"/>
        <v xml:space="preserve"> </v>
      </c>
      <c r="I51" s="43" t="e">
        <f t="shared" si="4"/>
        <v>#VALUE!</v>
      </c>
      <c r="J51" s="44" t="e">
        <f t="shared" si="5"/>
        <v>#VALUE!</v>
      </c>
      <c r="K51" s="38" t="e">
        <f t="shared" si="6"/>
        <v>#VALUE!</v>
      </c>
    </row>
    <row r="52" spans="1:11" ht="57.6" customHeight="1" x14ac:dyDescent="0.3">
      <c r="A52" s="28">
        <f t="shared" si="1"/>
        <v>51</v>
      </c>
      <c r="B52" s="28"/>
      <c r="C52" s="28"/>
      <c r="D52" s="28"/>
      <c r="E52" s="28"/>
      <c r="F52" s="28"/>
      <c r="G52" s="43" t="str">
        <f t="shared" si="0"/>
        <v/>
      </c>
      <c r="H52" s="38" t="str">
        <f t="shared" si="2"/>
        <v xml:space="preserve"> </v>
      </c>
      <c r="I52" s="43" t="str">
        <f t="shared" si="4"/>
        <v/>
      </c>
      <c r="J52" s="44" t="str">
        <f t="shared" si="5"/>
        <v/>
      </c>
      <c r="K52" s="38" t="str">
        <f t="shared" si="6"/>
        <v/>
      </c>
    </row>
    <row r="53" spans="1:11" ht="57.6" customHeight="1" x14ac:dyDescent="0.3">
      <c r="A53" s="28">
        <f t="shared" si="1"/>
        <v>52</v>
      </c>
      <c r="B53" s="28"/>
      <c r="C53" s="28"/>
      <c r="D53" s="28"/>
      <c r="E53" s="28"/>
      <c r="F53" s="28"/>
      <c r="G53" s="43" t="str">
        <f t="shared" si="0"/>
        <v/>
      </c>
      <c r="H53" s="38" t="str">
        <f t="shared" si="2"/>
        <v xml:space="preserve"> </v>
      </c>
      <c r="I53" s="43" t="str">
        <f t="shared" si="4"/>
        <v/>
      </c>
      <c r="J53" s="44" t="str">
        <f t="shared" si="5"/>
        <v/>
      </c>
      <c r="K53" s="38" t="str">
        <f t="shared" si="6"/>
        <v/>
      </c>
    </row>
    <row r="54" spans="1:11" ht="57.6" customHeight="1" x14ac:dyDescent="0.3">
      <c r="A54" s="28">
        <f t="shared" si="1"/>
        <v>53</v>
      </c>
      <c r="B54" s="28"/>
      <c r="C54" s="28"/>
      <c r="D54" s="28"/>
      <c r="E54" s="28"/>
      <c r="F54" s="28"/>
      <c r="G54" s="43" t="str">
        <f t="shared" si="0"/>
        <v/>
      </c>
      <c r="H54" s="38" t="str">
        <f t="shared" si="2"/>
        <v xml:space="preserve"> </v>
      </c>
      <c r="I54" s="43" t="str">
        <f t="shared" si="4"/>
        <v/>
      </c>
      <c r="J54" s="44" t="str">
        <f t="shared" si="5"/>
        <v/>
      </c>
      <c r="K54" s="38" t="str">
        <f t="shared" si="6"/>
        <v/>
      </c>
    </row>
    <row r="55" spans="1:11" ht="57.6" customHeight="1" x14ac:dyDescent="0.3">
      <c r="A55" s="28">
        <f t="shared" si="1"/>
        <v>54</v>
      </c>
      <c r="B55" s="28"/>
      <c r="C55" s="28"/>
      <c r="D55" s="28"/>
      <c r="E55" s="28"/>
      <c r="F55" s="28"/>
      <c r="G55" s="43" t="str">
        <f t="shared" si="0"/>
        <v/>
      </c>
      <c r="H55" s="38" t="str">
        <f t="shared" si="2"/>
        <v xml:space="preserve"> </v>
      </c>
      <c r="I55" s="43" t="str">
        <f t="shared" si="4"/>
        <v/>
      </c>
      <c r="J55" s="44" t="str">
        <f t="shared" si="5"/>
        <v/>
      </c>
      <c r="K55" s="38" t="str">
        <f t="shared" si="6"/>
        <v/>
      </c>
    </row>
    <row r="56" spans="1:11" ht="57.6" customHeight="1" x14ac:dyDescent="0.3">
      <c r="A56" s="28">
        <f t="shared" si="1"/>
        <v>55</v>
      </c>
      <c r="B56" s="28"/>
      <c r="C56" s="28"/>
      <c r="D56" s="28"/>
      <c r="E56" s="28"/>
      <c r="F56" s="28"/>
      <c r="G56" s="43" t="str">
        <f t="shared" si="0"/>
        <v/>
      </c>
      <c r="H56" s="38" t="str">
        <f t="shared" si="2"/>
        <v xml:space="preserve"> </v>
      </c>
      <c r="I56" s="43" t="str">
        <f t="shared" si="4"/>
        <v/>
      </c>
      <c r="J56" s="44" t="str">
        <f t="shared" si="5"/>
        <v/>
      </c>
      <c r="K56" s="38" t="str">
        <f t="shared" si="6"/>
        <v/>
      </c>
    </row>
    <row r="57" spans="1:11" ht="57.6" customHeight="1" x14ac:dyDescent="0.3">
      <c r="A57" s="28">
        <f t="shared" si="1"/>
        <v>56</v>
      </c>
      <c r="B57" s="28"/>
      <c r="C57" s="28"/>
      <c r="D57" s="28"/>
      <c r="E57" s="28"/>
      <c r="F57" s="28"/>
      <c r="G57" s="43" t="str">
        <f t="shared" si="0"/>
        <v/>
      </c>
      <c r="H57" s="38" t="str">
        <f t="shared" si="2"/>
        <v xml:space="preserve"> </v>
      </c>
      <c r="I57" s="43" t="str">
        <f t="shared" si="4"/>
        <v/>
      </c>
      <c r="J57" s="44" t="str">
        <f t="shared" si="5"/>
        <v/>
      </c>
      <c r="K57" s="38" t="str">
        <f t="shared" si="6"/>
        <v/>
      </c>
    </row>
    <row r="58" spans="1:11" ht="57.6" customHeight="1" x14ac:dyDescent="0.3">
      <c r="A58" s="28">
        <f t="shared" si="1"/>
        <v>57</v>
      </c>
      <c r="B58" s="28"/>
      <c r="C58" s="28"/>
      <c r="D58" s="28"/>
      <c r="E58" s="28"/>
      <c r="F58" s="28"/>
      <c r="G58" s="43" t="str">
        <f t="shared" si="0"/>
        <v/>
      </c>
      <c r="H58" s="38" t="str">
        <f t="shared" si="2"/>
        <v xml:space="preserve"> </v>
      </c>
      <c r="I58" s="43" t="str">
        <f t="shared" si="4"/>
        <v/>
      </c>
      <c r="J58" s="44" t="str">
        <f t="shared" si="5"/>
        <v/>
      </c>
      <c r="K58" s="38" t="str">
        <f t="shared" si="6"/>
        <v/>
      </c>
    </row>
    <row r="59" spans="1:11" ht="57.6" customHeight="1" x14ac:dyDescent="0.3">
      <c r="A59" s="28">
        <f t="shared" si="1"/>
        <v>58</v>
      </c>
      <c r="B59" s="28"/>
      <c r="C59" s="28"/>
      <c r="D59" s="28"/>
      <c r="E59" s="28"/>
      <c r="F59" s="28"/>
      <c r="G59" s="43" t="str">
        <f t="shared" si="0"/>
        <v/>
      </c>
      <c r="H59" s="38" t="str">
        <f t="shared" si="2"/>
        <v xml:space="preserve"> </v>
      </c>
      <c r="I59" s="43" t="str">
        <f t="shared" si="4"/>
        <v/>
      </c>
      <c r="J59" s="44" t="str">
        <f t="shared" si="5"/>
        <v/>
      </c>
      <c r="K59" s="38" t="str">
        <f t="shared" si="6"/>
        <v/>
      </c>
    </row>
    <row r="60" spans="1:11" ht="57.6" customHeight="1" x14ac:dyDescent="0.3">
      <c r="A60" s="28">
        <f t="shared" si="1"/>
        <v>59</v>
      </c>
      <c r="B60" s="28"/>
      <c r="C60" s="28"/>
      <c r="D60" s="28"/>
      <c r="E60" s="28"/>
      <c r="F60" s="28"/>
      <c r="G60" s="43" t="str">
        <f t="shared" si="0"/>
        <v/>
      </c>
      <c r="H60" s="38" t="str">
        <f t="shared" si="2"/>
        <v xml:space="preserve"> </v>
      </c>
      <c r="I60" s="43" t="str">
        <f t="shared" si="4"/>
        <v/>
      </c>
      <c r="J60" s="44" t="str">
        <f t="shared" si="5"/>
        <v/>
      </c>
      <c r="K60" s="38" t="str">
        <f t="shared" si="6"/>
        <v/>
      </c>
    </row>
    <row r="61" spans="1:11" ht="57.6" customHeight="1" x14ac:dyDescent="0.3">
      <c r="A61" s="28">
        <f t="shared" si="1"/>
        <v>60</v>
      </c>
      <c r="B61" s="28"/>
      <c r="C61" s="28"/>
      <c r="D61" s="28"/>
      <c r="E61" s="28"/>
      <c r="F61" s="28"/>
      <c r="G61" s="43" t="str">
        <f t="shared" si="0"/>
        <v/>
      </c>
      <c r="H61" s="38" t="str">
        <f t="shared" si="2"/>
        <v xml:space="preserve"> </v>
      </c>
      <c r="I61" s="43" t="str">
        <f t="shared" si="4"/>
        <v/>
      </c>
      <c r="J61" s="44" t="str">
        <f t="shared" si="5"/>
        <v/>
      </c>
      <c r="K61" s="38" t="str">
        <f t="shared" si="6"/>
        <v/>
      </c>
    </row>
    <row r="62" spans="1:11" ht="57.6" customHeight="1" x14ac:dyDescent="0.3">
      <c r="A62" s="28">
        <f t="shared" si="1"/>
        <v>61</v>
      </c>
      <c r="B62" s="28"/>
      <c r="C62" s="28"/>
      <c r="D62" s="28"/>
      <c r="E62" s="28"/>
      <c r="F62" s="28"/>
      <c r="G62" s="43" t="str">
        <f t="shared" si="0"/>
        <v/>
      </c>
      <c r="H62" s="38" t="str">
        <f t="shared" si="2"/>
        <v xml:space="preserve"> </v>
      </c>
      <c r="I62" s="43" t="str">
        <f t="shared" si="4"/>
        <v/>
      </c>
      <c r="J62" s="44" t="str">
        <f t="shared" si="5"/>
        <v/>
      </c>
      <c r="K62" s="38" t="str">
        <f t="shared" si="6"/>
        <v/>
      </c>
    </row>
    <row r="63" spans="1:11" ht="57.6" customHeight="1" x14ac:dyDescent="0.3">
      <c r="A63" s="28">
        <f t="shared" si="1"/>
        <v>62</v>
      </c>
      <c r="B63" s="28"/>
      <c r="C63" s="28"/>
      <c r="D63" s="28"/>
      <c r="E63" s="28"/>
      <c r="F63" s="28"/>
      <c r="G63" s="43" t="str">
        <f t="shared" si="0"/>
        <v/>
      </c>
      <c r="H63" s="38" t="str">
        <f t="shared" si="2"/>
        <v xml:space="preserve"> </v>
      </c>
      <c r="I63" s="43" t="str">
        <f t="shared" si="4"/>
        <v/>
      </c>
      <c r="J63" s="44" t="str">
        <f t="shared" si="5"/>
        <v/>
      </c>
      <c r="K63" s="38" t="str">
        <f t="shared" si="6"/>
        <v/>
      </c>
    </row>
    <row r="64" spans="1:11" ht="57.6" customHeight="1" x14ac:dyDescent="0.3">
      <c r="A64" s="28">
        <f t="shared" si="1"/>
        <v>63</v>
      </c>
      <c r="B64" s="28"/>
      <c r="C64" s="28"/>
      <c r="D64" s="28"/>
      <c r="E64" s="28"/>
      <c r="F64" s="28"/>
      <c r="G64" s="43" t="str">
        <f t="shared" si="0"/>
        <v/>
      </c>
      <c r="H64" s="38" t="str">
        <f t="shared" si="2"/>
        <v xml:space="preserve"> </v>
      </c>
      <c r="I64" s="43" t="str">
        <f t="shared" si="4"/>
        <v/>
      </c>
      <c r="J64" s="44" t="str">
        <f t="shared" si="5"/>
        <v/>
      </c>
      <c r="K64" s="38" t="str">
        <f t="shared" si="6"/>
        <v/>
      </c>
    </row>
    <row r="65" spans="1:11" ht="57.6" customHeight="1" x14ac:dyDescent="0.3">
      <c r="A65" s="28">
        <f t="shared" si="1"/>
        <v>64</v>
      </c>
      <c r="B65" s="28"/>
      <c r="C65" s="28"/>
      <c r="D65" s="28"/>
      <c r="E65" s="28"/>
      <c r="F65" s="28"/>
      <c r="G65" s="43" t="str">
        <f t="shared" si="0"/>
        <v/>
      </c>
      <c r="H65" s="38" t="str">
        <f t="shared" si="2"/>
        <v xml:space="preserve"> </v>
      </c>
      <c r="I65" s="43" t="str">
        <f t="shared" si="4"/>
        <v/>
      </c>
      <c r="J65" s="44" t="str">
        <f t="shared" si="5"/>
        <v/>
      </c>
      <c r="K65" s="38" t="str">
        <f t="shared" si="6"/>
        <v/>
      </c>
    </row>
    <row r="66" spans="1:11" ht="57.6" customHeight="1" x14ac:dyDescent="0.3">
      <c r="A66" s="28">
        <f t="shared" si="1"/>
        <v>65</v>
      </c>
      <c r="B66" s="28"/>
      <c r="C66" s="28"/>
      <c r="D66" s="28"/>
      <c r="E66" s="28"/>
      <c r="F66" s="28"/>
      <c r="G66" s="43" t="str">
        <f t="shared" ref="G66:G87" si="7">IF(AND(D66&gt;0,E66&gt;0,F66&gt;0),(D66*1000)/(E66*F66),"")</f>
        <v/>
      </c>
      <c r="H66" s="38" t="str">
        <f t="shared" si="2"/>
        <v xml:space="preserve"> </v>
      </c>
      <c r="I66" s="43" t="str">
        <f t="shared" si="4"/>
        <v/>
      </c>
      <c r="J66" s="44" t="str">
        <f t="shared" si="5"/>
        <v/>
      </c>
      <c r="K66" s="38" t="str">
        <f t="shared" si="6"/>
        <v/>
      </c>
    </row>
    <row r="67" spans="1:11" ht="57.6" customHeight="1" x14ac:dyDescent="0.3">
      <c r="A67" s="28">
        <f t="shared" ref="A67:A87" si="8">A66+1</f>
        <v>66</v>
      </c>
      <c r="B67" s="28"/>
      <c r="C67" s="28"/>
      <c r="D67" s="28"/>
      <c r="E67" s="28"/>
      <c r="F67" s="28"/>
      <c r="G67" s="43" t="str">
        <f t="shared" si="7"/>
        <v/>
      </c>
      <c r="H67" s="38" t="str">
        <f t="shared" ref="H67:H87" si="9">IF(C67="Gravity",120,IF(C67="Pumped",100,IF(C67="Rural",45," ")))</f>
        <v xml:space="preserve"> </v>
      </c>
      <c r="I67" s="43" t="str">
        <f t="shared" si="4"/>
        <v/>
      </c>
      <c r="J67" s="44" t="str">
        <f t="shared" si="5"/>
        <v/>
      </c>
      <c r="K67" s="38" t="str">
        <f t="shared" si="6"/>
        <v/>
      </c>
    </row>
    <row r="68" spans="1:11" ht="57.6" customHeight="1" x14ac:dyDescent="0.3">
      <c r="A68" s="28">
        <f t="shared" si="8"/>
        <v>67</v>
      </c>
      <c r="B68" s="28"/>
      <c r="C68" s="28"/>
      <c r="D68" s="28"/>
      <c r="E68" s="28"/>
      <c r="F68" s="28"/>
      <c r="G68" s="43" t="str">
        <f t="shared" si="7"/>
        <v/>
      </c>
      <c r="H68" s="38" t="str">
        <f t="shared" si="9"/>
        <v xml:space="preserve"> </v>
      </c>
      <c r="I68" s="43" t="str">
        <f t="shared" si="4"/>
        <v/>
      </c>
      <c r="J68" s="44" t="str">
        <f t="shared" si="5"/>
        <v/>
      </c>
      <c r="K68" s="38" t="str">
        <f t="shared" si="6"/>
        <v/>
      </c>
    </row>
    <row r="69" spans="1:11" ht="57.6" customHeight="1" x14ac:dyDescent="0.3">
      <c r="A69" s="28">
        <f t="shared" si="8"/>
        <v>68</v>
      </c>
      <c r="B69" s="28"/>
      <c r="C69" s="28"/>
      <c r="D69" s="28"/>
      <c r="E69" s="28"/>
      <c r="F69" s="28"/>
      <c r="G69" s="43" t="str">
        <f t="shared" si="7"/>
        <v/>
      </c>
      <c r="H69" s="38" t="str">
        <f t="shared" si="9"/>
        <v xml:space="preserve"> </v>
      </c>
      <c r="I69" s="43" t="str">
        <f t="shared" si="4"/>
        <v/>
      </c>
      <c r="J69" s="44" t="str">
        <f t="shared" si="5"/>
        <v/>
      </c>
      <c r="K69" s="38" t="str">
        <f t="shared" si="6"/>
        <v/>
      </c>
    </row>
    <row r="70" spans="1:11" ht="57.6" customHeight="1" x14ac:dyDescent="0.3">
      <c r="A70" s="28">
        <f t="shared" si="8"/>
        <v>69</v>
      </c>
      <c r="B70" s="28"/>
      <c r="C70" s="28"/>
      <c r="D70" s="28"/>
      <c r="E70" s="28"/>
      <c r="F70" s="28"/>
      <c r="G70" s="43" t="str">
        <f t="shared" si="7"/>
        <v/>
      </c>
      <c r="H70" s="38" t="str">
        <f t="shared" si="9"/>
        <v xml:space="preserve"> </v>
      </c>
      <c r="I70" s="43" t="str">
        <f t="shared" si="4"/>
        <v/>
      </c>
      <c r="J70" s="44" t="str">
        <f t="shared" si="5"/>
        <v/>
      </c>
      <c r="K70" s="38" t="str">
        <f t="shared" si="6"/>
        <v/>
      </c>
    </row>
    <row r="71" spans="1:11" ht="57.6" customHeight="1" x14ac:dyDescent="0.3">
      <c r="A71" s="28">
        <f t="shared" si="8"/>
        <v>70</v>
      </c>
      <c r="B71" s="28"/>
      <c r="C71" s="28"/>
      <c r="D71" s="28"/>
      <c r="E71" s="28"/>
      <c r="F71" s="28"/>
      <c r="G71" s="43" t="str">
        <f t="shared" si="7"/>
        <v/>
      </c>
      <c r="H71" s="38" t="str">
        <f t="shared" si="9"/>
        <v xml:space="preserve"> </v>
      </c>
      <c r="I71" s="43" t="str">
        <f t="shared" ref="I71:I87" si="10">IF(AND(G71&lt;&gt;"",H71&gt;0),G71/H71*100,"")</f>
        <v/>
      </c>
      <c r="J71" s="44" t="str">
        <f t="shared" ref="J71:J87" si="11">IF(I71="","",IF(C71="Rural",IF(I71&gt;=45,1,IF(AND(I71&gt;=20,I71&lt;45),(I71-19.99)/25,0)),IF(I71&gt;=100,1,IF(AND(I71&gt;=45,I71&lt;100),(I71-45)/55,0))))</f>
        <v/>
      </c>
      <c r="K71" s="38" t="str">
        <f t="shared" ref="K71:K87" si="12">IF(J71="","",IF(J71=1,"Fully compliant with benchmark",IF(J71=0,"Non-compliant; below minimum threshold","Partially compliant; improving progressively")))</f>
        <v/>
      </c>
    </row>
    <row r="72" spans="1:11" ht="57.6" customHeight="1" x14ac:dyDescent="0.3">
      <c r="A72" s="28">
        <f t="shared" si="8"/>
        <v>71</v>
      </c>
      <c r="B72" s="28"/>
      <c r="C72" s="28"/>
      <c r="D72" s="28"/>
      <c r="E72" s="28"/>
      <c r="F72" s="28"/>
      <c r="G72" s="43" t="str">
        <f t="shared" si="7"/>
        <v/>
      </c>
      <c r="H72" s="38" t="str">
        <f t="shared" si="9"/>
        <v xml:space="preserve"> </v>
      </c>
      <c r="I72" s="43" t="str">
        <f t="shared" si="10"/>
        <v/>
      </c>
      <c r="J72" s="44" t="str">
        <f t="shared" si="11"/>
        <v/>
      </c>
      <c r="K72" s="38" t="str">
        <f t="shared" si="12"/>
        <v/>
      </c>
    </row>
    <row r="73" spans="1:11" ht="57.6" customHeight="1" x14ac:dyDescent="0.3">
      <c r="A73" s="28">
        <f t="shared" si="8"/>
        <v>72</v>
      </c>
      <c r="B73" s="28"/>
      <c r="C73" s="28"/>
      <c r="D73" s="28"/>
      <c r="E73" s="28"/>
      <c r="F73" s="28"/>
      <c r="G73" s="43" t="str">
        <f t="shared" si="7"/>
        <v/>
      </c>
      <c r="H73" s="38" t="str">
        <f t="shared" si="9"/>
        <v xml:space="preserve"> </v>
      </c>
      <c r="I73" s="43" t="str">
        <f t="shared" si="10"/>
        <v/>
      </c>
      <c r="J73" s="44" t="str">
        <f t="shared" si="11"/>
        <v/>
      </c>
      <c r="K73" s="38" t="str">
        <f t="shared" si="12"/>
        <v/>
      </c>
    </row>
    <row r="74" spans="1:11" ht="57.6" customHeight="1" x14ac:dyDescent="0.3">
      <c r="A74" s="28">
        <f t="shared" si="8"/>
        <v>73</v>
      </c>
      <c r="B74" s="28"/>
      <c r="C74" s="28"/>
      <c r="D74" s="28"/>
      <c r="E74" s="28"/>
      <c r="F74" s="28"/>
      <c r="G74" s="43" t="str">
        <f t="shared" si="7"/>
        <v/>
      </c>
      <c r="H74" s="38" t="str">
        <f t="shared" si="9"/>
        <v xml:space="preserve"> </v>
      </c>
      <c r="I74" s="43" t="str">
        <f t="shared" si="10"/>
        <v/>
      </c>
      <c r="J74" s="44" t="str">
        <f t="shared" si="11"/>
        <v/>
      </c>
      <c r="K74" s="38" t="str">
        <f t="shared" si="12"/>
        <v/>
      </c>
    </row>
    <row r="75" spans="1:11" ht="57.6" customHeight="1" x14ac:dyDescent="0.3">
      <c r="A75" s="28">
        <f t="shared" si="8"/>
        <v>74</v>
      </c>
      <c r="B75" s="28"/>
      <c r="C75" s="28"/>
      <c r="D75" s="28"/>
      <c r="E75" s="28"/>
      <c r="F75" s="28"/>
      <c r="G75" s="43" t="str">
        <f t="shared" si="7"/>
        <v/>
      </c>
      <c r="H75" s="38" t="str">
        <f t="shared" si="9"/>
        <v xml:space="preserve"> </v>
      </c>
      <c r="I75" s="43" t="str">
        <f t="shared" si="10"/>
        <v/>
      </c>
      <c r="J75" s="44" t="str">
        <f t="shared" si="11"/>
        <v/>
      </c>
      <c r="K75" s="38" t="str">
        <f t="shared" si="12"/>
        <v/>
      </c>
    </row>
    <row r="76" spans="1:11" ht="57.6" customHeight="1" x14ac:dyDescent="0.3">
      <c r="A76" s="28">
        <f t="shared" si="8"/>
        <v>75</v>
      </c>
      <c r="B76" s="28"/>
      <c r="C76" s="28"/>
      <c r="D76" s="28"/>
      <c r="E76" s="28"/>
      <c r="F76" s="28"/>
      <c r="G76" s="43" t="str">
        <f t="shared" si="7"/>
        <v/>
      </c>
      <c r="H76" s="38" t="str">
        <f t="shared" si="9"/>
        <v xml:space="preserve"> </v>
      </c>
      <c r="I76" s="43" t="str">
        <f t="shared" si="10"/>
        <v/>
      </c>
      <c r="J76" s="44" t="str">
        <f t="shared" si="11"/>
        <v/>
      </c>
      <c r="K76" s="38" t="str">
        <f t="shared" si="12"/>
        <v/>
      </c>
    </row>
    <row r="77" spans="1:11" ht="57.6" customHeight="1" x14ac:dyDescent="0.3">
      <c r="A77" s="28">
        <f t="shared" si="8"/>
        <v>76</v>
      </c>
      <c r="B77" s="28"/>
      <c r="C77" s="28"/>
      <c r="D77" s="28"/>
      <c r="E77" s="28"/>
      <c r="F77" s="28"/>
      <c r="G77" s="43" t="str">
        <f t="shared" si="7"/>
        <v/>
      </c>
      <c r="H77" s="38" t="str">
        <f t="shared" si="9"/>
        <v xml:space="preserve"> </v>
      </c>
      <c r="I77" s="43" t="str">
        <f t="shared" si="10"/>
        <v/>
      </c>
      <c r="J77" s="44" t="str">
        <f t="shared" si="11"/>
        <v/>
      </c>
      <c r="K77" s="38" t="str">
        <f t="shared" si="12"/>
        <v/>
      </c>
    </row>
    <row r="78" spans="1:11" ht="57.6" customHeight="1" x14ac:dyDescent="0.3">
      <c r="A78" s="28">
        <f t="shared" si="8"/>
        <v>77</v>
      </c>
      <c r="B78" s="28"/>
      <c r="C78" s="28"/>
      <c r="D78" s="28"/>
      <c r="E78" s="28"/>
      <c r="F78" s="28"/>
      <c r="G78" s="43" t="str">
        <f t="shared" si="7"/>
        <v/>
      </c>
      <c r="H78" s="38" t="str">
        <f t="shared" si="9"/>
        <v xml:space="preserve"> </v>
      </c>
      <c r="I78" s="43" t="str">
        <f t="shared" si="10"/>
        <v/>
      </c>
      <c r="J78" s="44" t="str">
        <f t="shared" si="11"/>
        <v/>
      </c>
      <c r="K78" s="38" t="str">
        <f t="shared" si="12"/>
        <v/>
      </c>
    </row>
    <row r="79" spans="1:11" ht="57.6" customHeight="1" x14ac:dyDescent="0.3">
      <c r="A79" s="28">
        <f t="shared" si="8"/>
        <v>78</v>
      </c>
      <c r="B79" s="28"/>
      <c r="C79" s="28"/>
      <c r="D79" s="28"/>
      <c r="E79" s="28"/>
      <c r="F79" s="28"/>
      <c r="G79" s="43" t="str">
        <f t="shared" si="7"/>
        <v/>
      </c>
      <c r="H79" s="38" t="str">
        <f t="shared" si="9"/>
        <v xml:space="preserve"> </v>
      </c>
      <c r="I79" s="43" t="str">
        <f t="shared" si="10"/>
        <v/>
      </c>
      <c r="J79" s="44" t="str">
        <f t="shared" si="11"/>
        <v/>
      </c>
      <c r="K79" s="38" t="str">
        <f t="shared" si="12"/>
        <v/>
      </c>
    </row>
    <row r="80" spans="1:11" ht="57.6" customHeight="1" x14ac:dyDescent="0.3">
      <c r="A80" s="28">
        <f t="shared" si="8"/>
        <v>79</v>
      </c>
      <c r="B80" s="28"/>
      <c r="C80" s="47"/>
      <c r="G80" s="43" t="str">
        <f t="shared" si="7"/>
        <v/>
      </c>
      <c r="H80" s="38" t="str">
        <f t="shared" si="9"/>
        <v xml:space="preserve"> </v>
      </c>
      <c r="I80" s="43" t="str">
        <f t="shared" si="10"/>
        <v/>
      </c>
      <c r="J80" s="44" t="str">
        <f t="shared" si="11"/>
        <v/>
      </c>
      <c r="K80" s="38" t="str">
        <f t="shared" si="12"/>
        <v/>
      </c>
    </row>
    <row r="81" spans="1:11" ht="57.6" customHeight="1" x14ac:dyDescent="0.3">
      <c r="A81" s="28">
        <f t="shared" si="8"/>
        <v>80</v>
      </c>
      <c r="B81" s="28"/>
      <c r="C81" s="47"/>
      <c r="G81" s="43" t="str">
        <f t="shared" si="7"/>
        <v/>
      </c>
      <c r="H81" s="38" t="str">
        <f t="shared" si="9"/>
        <v xml:space="preserve"> </v>
      </c>
      <c r="I81" s="43" t="str">
        <f t="shared" si="10"/>
        <v/>
      </c>
      <c r="J81" s="44" t="str">
        <f t="shared" si="11"/>
        <v/>
      </c>
      <c r="K81" s="38" t="str">
        <f t="shared" si="12"/>
        <v/>
      </c>
    </row>
    <row r="82" spans="1:11" ht="57.6" customHeight="1" x14ac:dyDescent="0.3">
      <c r="A82" s="28">
        <f t="shared" si="8"/>
        <v>81</v>
      </c>
      <c r="B82" s="28"/>
      <c r="C82" s="47"/>
      <c r="G82" s="43" t="str">
        <f t="shared" si="7"/>
        <v/>
      </c>
      <c r="H82" s="38" t="str">
        <f t="shared" si="9"/>
        <v xml:space="preserve"> </v>
      </c>
      <c r="I82" s="43" t="str">
        <f t="shared" si="10"/>
        <v/>
      </c>
      <c r="J82" s="44" t="str">
        <f t="shared" si="11"/>
        <v/>
      </c>
      <c r="K82" s="38" t="str">
        <f t="shared" si="12"/>
        <v/>
      </c>
    </row>
    <row r="83" spans="1:11" ht="57.6" customHeight="1" x14ac:dyDescent="0.3">
      <c r="A83" s="28">
        <f t="shared" si="8"/>
        <v>82</v>
      </c>
      <c r="B83" s="28"/>
      <c r="C83" s="47"/>
      <c r="G83" s="43" t="str">
        <f t="shared" si="7"/>
        <v/>
      </c>
      <c r="H83" s="38" t="str">
        <f t="shared" si="9"/>
        <v xml:space="preserve"> </v>
      </c>
      <c r="I83" s="43" t="str">
        <f t="shared" si="10"/>
        <v/>
      </c>
      <c r="J83" s="44" t="str">
        <f t="shared" si="11"/>
        <v/>
      </c>
      <c r="K83" s="38" t="str">
        <f t="shared" si="12"/>
        <v/>
      </c>
    </row>
    <row r="84" spans="1:11" ht="57.6" customHeight="1" x14ac:dyDescent="0.3">
      <c r="A84" s="28">
        <f t="shared" si="8"/>
        <v>83</v>
      </c>
      <c r="B84" s="28"/>
      <c r="C84" s="47"/>
      <c r="G84" s="43" t="str">
        <f t="shared" si="7"/>
        <v/>
      </c>
      <c r="H84" s="38" t="str">
        <f t="shared" si="9"/>
        <v xml:space="preserve"> </v>
      </c>
      <c r="I84" s="43" t="str">
        <f t="shared" si="10"/>
        <v/>
      </c>
      <c r="J84" s="44" t="str">
        <f t="shared" si="11"/>
        <v/>
      </c>
      <c r="K84" s="38" t="str">
        <f t="shared" si="12"/>
        <v/>
      </c>
    </row>
    <row r="85" spans="1:11" ht="57.6" customHeight="1" x14ac:dyDescent="0.3">
      <c r="A85" s="28">
        <f t="shared" si="8"/>
        <v>84</v>
      </c>
      <c r="B85" s="28"/>
      <c r="C85" s="47"/>
      <c r="G85" s="43" t="str">
        <f t="shared" si="7"/>
        <v/>
      </c>
      <c r="H85" s="38" t="str">
        <f t="shared" si="9"/>
        <v xml:space="preserve"> </v>
      </c>
      <c r="I85" s="43" t="str">
        <f t="shared" si="10"/>
        <v/>
      </c>
      <c r="J85" s="44" t="str">
        <f t="shared" si="11"/>
        <v/>
      </c>
      <c r="K85" s="38" t="str">
        <f t="shared" si="12"/>
        <v/>
      </c>
    </row>
    <row r="86" spans="1:11" ht="57.6" customHeight="1" x14ac:dyDescent="0.3">
      <c r="A86" s="28">
        <f t="shared" si="8"/>
        <v>85</v>
      </c>
      <c r="B86" s="28"/>
      <c r="C86" s="47"/>
      <c r="G86" s="43" t="str">
        <f t="shared" si="7"/>
        <v/>
      </c>
      <c r="H86" s="38" t="str">
        <f t="shared" si="9"/>
        <v xml:space="preserve"> </v>
      </c>
      <c r="I86" s="43" t="str">
        <f t="shared" si="10"/>
        <v/>
      </c>
      <c r="J86" s="44" t="str">
        <f t="shared" si="11"/>
        <v/>
      </c>
      <c r="K86" s="38" t="str">
        <f t="shared" si="12"/>
        <v/>
      </c>
    </row>
    <row r="87" spans="1:11" ht="57.6" customHeight="1" x14ac:dyDescent="0.3">
      <c r="A87" s="28">
        <f t="shared" si="8"/>
        <v>86</v>
      </c>
      <c r="B87" s="28"/>
      <c r="C87" s="47"/>
      <c r="G87" s="43" t="str">
        <f t="shared" si="7"/>
        <v/>
      </c>
      <c r="H87" s="38" t="str">
        <f t="shared" si="9"/>
        <v xml:space="preserve"> </v>
      </c>
      <c r="I87" s="43" t="str">
        <f t="shared" si="10"/>
        <v/>
      </c>
      <c r="J87" s="44" t="str">
        <f t="shared" si="11"/>
        <v/>
      </c>
      <c r="K87" s="38" t="str">
        <f t="shared" si="12"/>
        <v/>
      </c>
    </row>
    <row r="88" spans="1:11" ht="57.6" customHeight="1" x14ac:dyDescent="0.3">
      <c r="A88" s="28"/>
      <c r="B88" s="28"/>
      <c r="C88" s="28"/>
      <c r="D88" s="28"/>
      <c r="E88" s="28"/>
      <c r="F88" s="28"/>
      <c r="G88" s="28"/>
    </row>
    <row r="89" spans="1:11" ht="57.6" customHeight="1" x14ac:dyDescent="0.3">
      <c r="A89" s="28"/>
      <c r="B89" s="28"/>
      <c r="C89" s="28"/>
      <c r="D89" s="28"/>
      <c r="E89" s="28"/>
      <c r="F89" s="28"/>
      <c r="G89" s="28"/>
    </row>
    <row r="90" spans="1:11" ht="57.6" customHeight="1" x14ac:dyDescent="0.3">
      <c r="C90" s="47"/>
    </row>
    <row r="91" spans="1:11" ht="57.6" customHeight="1" x14ac:dyDescent="0.3">
      <c r="C91" s="47"/>
    </row>
    <row r="92" spans="1:11" ht="57.6" customHeight="1" x14ac:dyDescent="0.3">
      <c r="C92" s="47"/>
    </row>
    <row r="93" spans="1:11" ht="57.6" customHeight="1" x14ac:dyDescent="0.3">
      <c r="C93" s="47"/>
    </row>
    <row r="94" spans="1:11" ht="57.6" customHeight="1" x14ac:dyDescent="0.3">
      <c r="C94" s="47"/>
    </row>
    <row r="95" spans="1:11" ht="57.6" customHeight="1" x14ac:dyDescent="0.3">
      <c r="C95" s="47"/>
    </row>
    <row r="96" spans="1:11" ht="57.6" customHeight="1" x14ac:dyDescent="0.3">
      <c r="C96" s="47"/>
    </row>
    <row r="97" s="47" customFormat="1" ht="57.6" customHeight="1" x14ac:dyDescent="0.3"/>
    <row r="98" s="47" customFormat="1" ht="57.6" customHeight="1" x14ac:dyDescent="0.3"/>
    <row r="99" s="47" customFormat="1" ht="57.6" customHeight="1" x14ac:dyDescent="0.3"/>
    <row r="100" s="47" customFormat="1" ht="57.6" customHeight="1" x14ac:dyDescent="0.3"/>
    <row r="101" s="47" customFormat="1" ht="57.6" customHeight="1" x14ac:dyDescent="0.3"/>
    <row r="102" s="47" customFormat="1" ht="57.6" customHeight="1" x14ac:dyDescent="0.3"/>
    <row r="103" s="47" customFormat="1" ht="57.6" customHeight="1" x14ac:dyDescent="0.3"/>
    <row r="104" s="47" customFormat="1" ht="57.6" customHeight="1" x14ac:dyDescent="0.3"/>
    <row r="105" s="47" customFormat="1" ht="57.6" customHeight="1" x14ac:dyDescent="0.3"/>
    <row r="106" s="47" customFormat="1" ht="57.6" customHeight="1" x14ac:dyDescent="0.3"/>
    <row r="107" s="47" customFormat="1" ht="57.6" customHeight="1" x14ac:dyDescent="0.3"/>
    <row r="108" s="47" customFormat="1" ht="57.6" customHeight="1" x14ac:dyDescent="0.3"/>
    <row r="109" s="47" customFormat="1" ht="57.6" customHeight="1" x14ac:dyDescent="0.3"/>
    <row r="110" s="47" customFormat="1" ht="57.6" customHeight="1" x14ac:dyDescent="0.3"/>
    <row r="111" s="47" customFormat="1" ht="57.6" customHeight="1" x14ac:dyDescent="0.3"/>
    <row r="112" s="47" customFormat="1" ht="57.6" customHeight="1" x14ac:dyDescent="0.3"/>
    <row r="113" s="47" customFormat="1" ht="57.6" customHeight="1" x14ac:dyDescent="0.3"/>
    <row r="114" s="47" customFormat="1" ht="57.6" customHeight="1" x14ac:dyDescent="0.3"/>
    <row r="115" s="47" customFormat="1" ht="57.6" customHeight="1" x14ac:dyDescent="0.3"/>
    <row r="116" s="47" customFormat="1" ht="57.6" customHeight="1" x14ac:dyDescent="0.3"/>
    <row r="117" s="47" customFormat="1" ht="57.6" customHeight="1" x14ac:dyDescent="0.3"/>
    <row r="118" s="47" customFormat="1" ht="57.6" customHeight="1" x14ac:dyDescent="0.3"/>
    <row r="119" s="47" customFormat="1" ht="57.6" customHeight="1" x14ac:dyDescent="0.3"/>
    <row r="120" s="47" customFormat="1" ht="57.6" customHeight="1" x14ac:dyDescent="0.3"/>
    <row r="121" s="47" customFormat="1" ht="57.6" customHeight="1" x14ac:dyDescent="0.3"/>
    <row r="122" s="47" customFormat="1" ht="57.6" customHeight="1" x14ac:dyDescent="0.3"/>
    <row r="123" s="47" customFormat="1" ht="57.6" customHeight="1" x14ac:dyDescent="0.3"/>
    <row r="124" s="47" customFormat="1" ht="57.6" customHeight="1" x14ac:dyDescent="0.3"/>
    <row r="125" s="47" customFormat="1" ht="57.6" customHeight="1" x14ac:dyDescent="0.3"/>
    <row r="126" s="47" customFormat="1" ht="57.6" customHeight="1" x14ac:dyDescent="0.3"/>
    <row r="127" s="47" customFormat="1" ht="57.6" customHeight="1" x14ac:dyDescent="0.3"/>
    <row r="128" s="47" customFormat="1" ht="57.6" customHeight="1" x14ac:dyDescent="0.3"/>
    <row r="129" s="47" customFormat="1" ht="57.6" customHeight="1" x14ac:dyDescent="0.3"/>
    <row r="130" s="47" customFormat="1" ht="57.6" customHeight="1" x14ac:dyDescent="0.3"/>
    <row r="131" s="47" customFormat="1" ht="57.6" customHeight="1" x14ac:dyDescent="0.3"/>
    <row r="132" s="47" customFormat="1" ht="57.6" customHeight="1" x14ac:dyDescent="0.3"/>
    <row r="133" s="47" customFormat="1" ht="57.6" customHeight="1" x14ac:dyDescent="0.3"/>
    <row r="134" s="47" customFormat="1" ht="57.6" customHeight="1" x14ac:dyDescent="0.3"/>
    <row r="135" s="47" customFormat="1" ht="57.6" customHeight="1" x14ac:dyDescent="0.3"/>
    <row r="136" s="47" customFormat="1" ht="57.6" customHeight="1" x14ac:dyDescent="0.3"/>
    <row r="137" s="47" customFormat="1" ht="57.6" customHeight="1" x14ac:dyDescent="0.3"/>
    <row r="138" s="47" customFormat="1" ht="57.6" customHeight="1" x14ac:dyDescent="0.3"/>
    <row r="139" s="47" customFormat="1" ht="57.6" customHeight="1" x14ac:dyDescent="0.3"/>
    <row r="140" s="47" customFormat="1" ht="57.6" customHeight="1" x14ac:dyDescent="0.3"/>
    <row r="141" s="47" customFormat="1" ht="57.6" customHeight="1" x14ac:dyDescent="0.3"/>
    <row r="142" s="47" customFormat="1" ht="57.6" customHeight="1" x14ac:dyDescent="0.3"/>
    <row r="143" s="47" customFormat="1" ht="57.6" customHeight="1" x14ac:dyDescent="0.3"/>
    <row r="144" s="47" customFormat="1" ht="57.6" customHeight="1" x14ac:dyDescent="0.3"/>
    <row r="145" s="47" customFormat="1" ht="57.6" customHeight="1" x14ac:dyDescent="0.3"/>
    <row r="146" s="47" customFormat="1" ht="57.6" customHeight="1" x14ac:dyDescent="0.3"/>
    <row r="147" s="47" customFormat="1" ht="57.6" customHeight="1" x14ac:dyDescent="0.3"/>
    <row r="148" s="47" customFormat="1" ht="57.6" customHeight="1" x14ac:dyDescent="0.3"/>
    <row r="149" s="47" customFormat="1" ht="57.6" customHeight="1" x14ac:dyDescent="0.3"/>
    <row r="150" s="47" customFormat="1" ht="57.6" customHeight="1" x14ac:dyDescent="0.3"/>
    <row r="151" s="47" customFormat="1" ht="57.6" customHeight="1" x14ac:dyDescent="0.3"/>
    <row r="152" s="47" customFormat="1" ht="57.6" customHeight="1" x14ac:dyDescent="0.3"/>
    <row r="153" s="47" customFormat="1" ht="57.6" customHeight="1" x14ac:dyDescent="0.3"/>
    <row r="154" s="47" customFormat="1" ht="57.6" customHeight="1" x14ac:dyDescent="0.3"/>
    <row r="155" s="47" customFormat="1" ht="57.6" customHeight="1" x14ac:dyDescent="0.3"/>
    <row r="156" s="47" customFormat="1" ht="57.6" customHeight="1" x14ac:dyDescent="0.3"/>
    <row r="157" s="47" customFormat="1" ht="57.6" customHeight="1" x14ac:dyDescent="0.3"/>
    <row r="158" s="47" customFormat="1" ht="57.6" customHeight="1" x14ac:dyDescent="0.3"/>
    <row r="159" s="47" customFormat="1" ht="57.6" customHeight="1" x14ac:dyDescent="0.3"/>
    <row r="160" s="47" customFormat="1" ht="57.6" customHeight="1" x14ac:dyDescent="0.3"/>
    <row r="161" spans="1:7" ht="57.6" customHeight="1" x14ac:dyDescent="0.3">
      <c r="C161" s="47"/>
    </row>
    <row r="162" spans="1:7" ht="57.6" customHeight="1" x14ac:dyDescent="0.3">
      <c r="C162" s="47"/>
    </row>
    <row r="163" spans="1:7" ht="57.6" customHeight="1" x14ac:dyDescent="0.3">
      <c r="C163" s="47"/>
    </row>
    <row r="164" spans="1:7" ht="57.6" customHeight="1" x14ac:dyDescent="0.3">
      <c r="A164" s="58" t="s">
        <v>143</v>
      </c>
      <c r="B164" s="59"/>
      <c r="C164" s="60"/>
      <c r="D164" s="59"/>
      <c r="E164" s="59"/>
      <c r="F164" s="59"/>
      <c r="G164" s="59"/>
    </row>
    <row r="165" spans="1:7" ht="57.6" customHeight="1" x14ac:dyDescent="0.3">
      <c r="A165" s="61" t="s">
        <v>144</v>
      </c>
      <c r="B165" s="59"/>
      <c r="C165" s="60"/>
      <c r="E165" s="61" t="s">
        <v>145</v>
      </c>
      <c r="F165" s="59"/>
      <c r="G165" s="59"/>
    </row>
    <row r="166" spans="1:7" ht="57.6" customHeight="1" x14ac:dyDescent="0.3">
      <c r="A166" s="47" t="s">
        <v>146</v>
      </c>
      <c r="B166" s="47" t="s">
        <v>147</v>
      </c>
      <c r="C166" s="47" t="s">
        <v>130</v>
      </c>
      <c r="E166" s="47" t="s">
        <v>148</v>
      </c>
      <c r="F166" s="47" t="s">
        <v>149</v>
      </c>
      <c r="G166" s="47" t="s">
        <v>130</v>
      </c>
    </row>
    <row r="167" spans="1:7" ht="57.6" customHeight="1" x14ac:dyDescent="0.3">
      <c r="A167" s="47" t="s">
        <v>150</v>
      </c>
      <c r="B167" s="47">
        <v>1</v>
      </c>
      <c r="C167" s="47" t="s">
        <v>151</v>
      </c>
      <c r="E167" s="47" t="s">
        <v>152</v>
      </c>
      <c r="F167" s="47">
        <v>1</v>
      </c>
      <c r="G167" s="47" t="s">
        <v>151</v>
      </c>
    </row>
    <row r="168" spans="1:7" ht="57.6" customHeight="1" x14ac:dyDescent="0.3">
      <c r="A168" s="47" t="s">
        <v>153</v>
      </c>
      <c r="B168" s="47" t="s">
        <v>154</v>
      </c>
      <c r="C168" s="47" t="s">
        <v>155</v>
      </c>
      <c r="E168" s="47" t="s">
        <v>156</v>
      </c>
      <c r="F168" s="47" t="s">
        <v>157</v>
      </c>
      <c r="G168" s="47" t="s">
        <v>155</v>
      </c>
    </row>
    <row r="169" spans="1:7" ht="57.6" customHeight="1" x14ac:dyDescent="0.3">
      <c r="A169" s="47" t="s">
        <v>158</v>
      </c>
      <c r="B169" s="47">
        <v>0</v>
      </c>
      <c r="C169" s="47" t="s">
        <v>159</v>
      </c>
      <c r="E169" s="47" t="s">
        <v>160</v>
      </c>
      <c r="F169" s="47">
        <v>0</v>
      </c>
      <c r="G169" s="47" t="s">
        <v>159</v>
      </c>
    </row>
    <row r="170" spans="1:7" ht="57.6" customHeight="1" x14ac:dyDescent="0.3">
      <c r="C170" s="47"/>
    </row>
    <row r="171" spans="1:7" ht="57.6" customHeight="1" x14ac:dyDescent="0.3">
      <c r="C171" s="47"/>
    </row>
    <row r="172" spans="1:7" ht="57.6" customHeight="1" x14ac:dyDescent="0.3">
      <c r="C172" s="47"/>
    </row>
    <row r="173" spans="1:7" ht="57.6" customHeight="1" x14ac:dyDescent="0.3">
      <c r="C173" s="47"/>
    </row>
    <row r="174" spans="1:7" ht="57.6" customHeight="1" x14ac:dyDescent="0.3">
      <c r="C174" s="47"/>
    </row>
    <row r="175" spans="1:7" ht="57.6" customHeight="1" x14ac:dyDescent="0.3">
      <c r="C175" s="47"/>
    </row>
    <row r="176" spans="1:7" ht="57.6" customHeight="1" x14ac:dyDescent="0.3">
      <c r="C176" s="47"/>
    </row>
    <row r="177" s="47" customFormat="1" ht="57.6" customHeight="1" x14ac:dyDescent="0.3"/>
    <row r="178" s="47" customFormat="1" ht="57.6" customHeight="1" x14ac:dyDescent="0.3"/>
    <row r="179" s="47" customFormat="1" ht="57.6" customHeight="1" x14ac:dyDescent="0.3"/>
    <row r="180" s="47" customFormat="1" ht="57.6" customHeight="1" x14ac:dyDescent="0.3"/>
    <row r="181" s="47" customFormat="1" ht="57.6" customHeight="1" x14ac:dyDescent="0.3"/>
    <row r="182" s="47" customFormat="1" ht="57.6" customHeight="1" x14ac:dyDescent="0.3"/>
    <row r="183" s="47" customFormat="1" ht="57.6" customHeight="1" x14ac:dyDescent="0.3"/>
    <row r="184" s="47" customFormat="1" ht="57.6" customHeight="1" x14ac:dyDescent="0.3"/>
  </sheetData>
  <mergeCells count="3">
    <mergeCell ref="A164:G164"/>
    <mergeCell ref="E165:G165"/>
    <mergeCell ref="A165:C165"/>
  </mergeCells>
  <dataValidations count="1">
    <dataValidation type="list" allowBlank="1" showInputMessage="1" showErrorMessage="1" sqref="C2:C87" xr:uid="{01713FB2-F8CD-4780-BE70-8C60F7BDCE54}">
      <formula1>"Gravity, Pumped, Rural"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4"/>
  <sheetViews>
    <sheetView zoomScaleNormal="100" workbookViewId="0">
      <pane xSplit="2" topLeftCell="E1" activePane="topRight" state="frozen"/>
      <selection pane="topRight" activeCell="E51" sqref="E51"/>
    </sheetView>
  </sheetViews>
  <sheetFormatPr defaultColWidth="8.5546875" defaultRowHeight="42.6" customHeight="1" x14ac:dyDescent="0.3"/>
  <cols>
    <col min="1" max="1" width="18.44140625" style="28" customWidth="1"/>
    <col min="2" max="2" width="20" style="28" customWidth="1"/>
    <col min="3" max="3" width="23.109375" style="28" customWidth="1"/>
    <col min="4" max="5" width="20" style="28" customWidth="1"/>
    <col min="6" max="6" width="40" style="28" customWidth="1"/>
    <col min="7" max="7" width="28.33203125" style="28" customWidth="1"/>
    <col min="8" max="9" width="20" style="28" customWidth="1"/>
    <col min="10" max="10" width="16.33203125" style="28" customWidth="1"/>
    <col min="11" max="13" width="8.5546875" style="28"/>
    <col min="14" max="14" width="13.88671875" style="28" customWidth="1"/>
    <col min="15" max="15" width="18.88671875" style="28" customWidth="1"/>
    <col min="16" max="16" width="23.88671875" style="28" customWidth="1"/>
    <col min="17" max="17" width="18.109375" style="28" customWidth="1"/>
    <col min="18" max="16384" width="8.5546875" style="28"/>
  </cols>
  <sheetData>
    <row r="1" spans="1:18" ht="42.6" customHeight="1" x14ac:dyDescent="0.3">
      <c r="A1" s="2" t="s">
        <v>0</v>
      </c>
      <c r="B1" s="2" t="s">
        <v>1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126</v>
      </c>
      <c r="H1" s="2" t="s">
        <v>165</v>
      </c>
      <c r="I1" s="2" t="s">
        <v>166</v>
      </c>
      <c r="J1" s="2" t="s">
        <v>167</v>
      </c>
    </row>
    <row r="2" spans="1:18" ht="42.6" customHeight="1" x14ac:dyDescent="0.3">
      <c r="A2" s="3">
        <v>1</v>
      </c>
      <c r="B2" s="40" t="s">
        <v>48</v>
      </c>
      <c r="C2" s="3" t="s">
        <v>168</v>
      </c>
      <c r="D2" s="3"/>
      <c r="E2" s="3"/>
      <c r="F2" s="5">
        <f t="shared" ref="F2:F65" si="0">SUM(H2:J2)</f>
        <v>0.2</v>
      </c>
      <c r="G2" s="3" t="str">
        <f t="shared" ref="G2:G65" si="1">IF(F2=1,"Fully compliant – all sub-indicators met",IF(F2=0,"Non-compliant – critical failure","Partially compliant – some sub-indicators met"))</f>
        <v>Partially compliant – some sub-indicators met</v>
      </c>
      <c r="H2" s="8">
        <f t="shared" ref="H2:H65" si="2">IF(UPPER(C2)="YES",0.2,0)</f>
        <v>0.2</v>
      </c>
      <c r="I2" s="8">
        <f t="shared" ref="I2:I65" si="3">IF(UPPER(D2)="YES",0.4,0)</f>
        <v>0</v>
      </c>
      <c r="J2" s="8">
        <f t="shared" ref="J2:J65" si="4">IF(UPPER(E2)="YES",0.4,0)</f>
        <v>0</v>
      </c>
      <c r="O2" s="62" t="s">
        <v>143</v>
      </c>
      <c r="P2" s="63"/>
      <c r="Q2" s="63"/>
      <c r="R2" s="63"/>
    </row>
    <row r="3" spans="1:18" ht="42.6" customHeight="1" x14ac:dyDescent="0.3">
      <c r="A3" s="4">
        <f t="shared" ref="A3:A66" si="5">A2+1</f>
        <v>2</v>
      </c>
      <c r="B3" s="41" t="s">
        <v>54</v>
      </c>
      <c r="C3" s="4" t="s">
        <v>168</v>
      </c>
      <c r="D3" s="3" t="s">
        <v>53</v>
      </c>
      <c r="E3" s="3" t="s">
        <v>53</v>
      </c>
      <c r="F3" s="6">
        <f t="shared" si="0"/>
        <v>1</v>
      </c>
      <c r="G3" s="4" t="str">
        <f t="shared" si="1"/>
        <v>Fully compliant – all sub-indicators met</v>
      </c>
      <c r="H3" s="9">
        <f t="shared" si="2"/>
        <v>0.2</v>
      </c>
      <c r="I3" s="9">
        <f t="shared" si="3"/>
        <v>0.4</v>
      </c>
      <c r="J3" s="9">
        <f t="shared" si="4"/>
        <v>0.4</v>
      </c>
      <c r="O3" s="28" t="s">
        <v>169</v>
      </c>
      <c r="P3" s="28" t="s">
        <v>170</v>
      </c>
      <c r="Q3" s="28" t="s">
        <v>171</v>
      </c>
      <c r="R3" s="28" t="s">
        <v>172</v>
      </c>
    </row>
    <row r="4" spans="1:18" ht="42.6" customHeight="1" x14ac:dyDescent="0.3">
      <c r="A4" s="4">
        <f t="shared" si="5"/>
        <v>3</v>
      </c>
      <c r="B4" s="40" t="s">
        <v>57</v>
      </c>
      <c r="C4" s="3" t="s">
        <v>168</v>
      </c>
      <c r="D4" s="3"/>
      <c r="E4" s="3"/>
      <c r="F4" s="5">
        <f t="shared" si="0"/>
        <v>0.2</v>
      </c>
      <c r="G4" s="3" t="str">
        <f t="shared" si="1"/>
        <v>Partially compliant – some sub-indicators met</v>
      </c>
      <c r="H4" s="8">
        <f t="shared" si="2"/>
        <v>0.2</v>
      </c>
      <c r="I4" s="8">
        <f t="shared" si="3"/>
        <v>0</v>
      </c>
      <c r="J4" s="8">
        <f t="shared" si="4"/>
        <v>0</v>
      </c>
      <c r="O4" s="28">
        <v>1</v>
      </c>
      <c r="P4" s="28" t="s">
        <v>173</v>
      </c>
      <c r="Q4" s="28" t="s">
        <v>174</v>
      </c>
      <c r="R4" s="28">
        <v>0.2</v>
      </c>
    </row>
    <row r="5" spans="1:18" ht="42.6" customHeight="1" x14ac:dyDescent="0.3">
      <c r="A5" s="4">
        <f t="shared" si="5"/>
        <v>4</v>
      </c>
      <c r="B5" s="41" t="s">
        <v>61</v>
      </c>
      <c r="C5" s="48" t="s">
        <v>168</v>
      </c>
      <c r="D5" s="3" t="s">
        <v>53</v>
      </c>
      <c r="E5" s="3"/>
      <c r="F5" s="6">
        <f t="shared" si="0"/>
        <v>0.60000000000000009</v>
      </c>
      <c r="G5" s="4" t="str">
        <f t="shared" si="1"/>
        <v>Partially compliant – some sub-indicators met</v>
      </c>
      <c r="H5" s="9">
        <f t="shared" si="2"/>
        <v>0.2</v>
      </c>
      <c r="I5" s="9">
        <f t="shared" si="3"/>
        <v>0.4</v>
      </c>
      <c r="J5" s="9">
        <f t="shared" si="4"/>
        <v>0</v>
      </c>
      <c r="O5" s="28">
        <v>2</v>
      </c>
      <c r="P5" s="28" t="s">
        <v>175</v>
      </c>
      <c r="Q5" s="28" t="s">
        <v>176</v>
      </c>
      <c r="R5" s="28">
        <v>0.4</v>
      </c>
    </row>
    <row r="6" spans="1:18" ht="42.6" customHeight="1" x14ac:dyDescent="0.3">
      <c r="A6" s="4">
        <f t="shared" si="5"/>
        <v>5</v>
      </c>
      <c r="B6" s="40" t="s">
        <v>64</v>
      </c>
      <c r="C6" s="3" t="s">
        <v>168</v>
      </c>
      <c r="D6" s="3"/>
      <c r="E6" s="3"/>
      <c r="F6" s="5">
        <f t="shared" si="0"/>
        <v>0.2</v>
      </c>
      <c r="G6" s="3" t="str">
        <f t="shared" si="1"/>
        <v>Partially compliant – some sub-indicators met</v>
      </c>
      <c r="H6" s="8">
        <f t="shared" si="2"/>
        <v>0.2</v>
      </c>
      <c r="I6" s="8">
        <f t="shared" si="3"/>
        <v>0</v>
      </c>
      <c r="J6" s="8">
        <f t="shared" si="4"/>
        <v>0</v>
      </c>
      <c r="O6" s="28">
        <v>3</v>
      </c>
      <c r="P6" s="28" t="s">
        <v>177</v>
      </c>
      <c r="Q6" s="28" t="s">
        <v>178</v>
      </c>
      <c r="R6" s="28">
        <v>0.4</v>
      </c>
    </row>
    <row r="7" spans="1:18" ht="42.6" customHeight="1" x14ac:dyDescent="0.3">
      <c r="A7" s="4">
        <f t="shared" si="5"/>
        <v>6</v>
      </c>
      <c r="B7" s="47" t="s">
        <v>66</v>
      </c>
      <c r="C7" s="3" t="s">
        <v>168</v>
      </c>
      <c r="F7" s="5">
        <f t="shared" si="0"/>
        <v>0.2</v>
      </c>
      <c r="G7" s="3" t="str">
        <f t="shared" si="1"/>
        <v>Partially compliant – some sub-indicators met</v>
      </c>
      <c r="H7" s="8">
        <f t="shared" si="2"/>
        <v>0.2</v>
      </c>
      <c r="I7" s="8">
        <f t="shared" si="3"/>
        <v>0</v>
      </c>
      <c r="J7" s="8">
        <f t="shared" si="4"/>
        <v>0</v>
      </c>
    </row>
    <row r="8" spans="1:18" ht="42.6" customHeight="1" x14ac:dyDescent="0.3">
      <c r="A8" s="4">
        <f t="shared" si="5"/>
        <v>7</v>
      </c>
      <c r="B8" s="47" t="s">
        <v>69</v>
      </c>
      <c r="C8" s="3" t="s">
        <v>168</v>
      </c>
      <c r="F8" s="5">
        <f t="shared" si="0"/>
        <v>0.2</v>
      </c>
      <c r="G8" s="3" t="str">
        <f t="shared" si="1"/>
        <v>Partially compliant – some sub-indicators met</v>
      </c>
      <c r="H8" s="8">
        <f t="shared" si="2"/>
        <v>0.2</v>
      </c>
      <c r="I8" s="8">
        <f t="shared" si="3"/>
        <v>0</v>
      </c>
      <c r="J8" s="8">
        <f t="shared" si="4"/>
        <v>0</v>
      </c>
    </row>
    <row r="9" spans="1:18" ht="42.6" customHeight="1" x14ac:dyDescent="0.3">
      <c r="A9" s="4">
        <f t="shared" si="5"/>
        <v>8</v>
      </c>
      <c r="B9" s="47" t="s">
        <v>73</v>
      </c>
      <c r="C9" s="3" t="s">
        <v>168</v>
      </c>
      <c r="F9" s="5">
        <f t="shared" si="0"/>
        <v>0.2</v>
      </c>
      <c r="G9" s="3" t="str">
        <f t="shared" si="1"/>
        <v>Partially compliant – some sub-indicators met</v>
      </c>
      <c r="H9" s="8">
        <f t="shared" si="2"/>
        <v>0.2</v>
      </c>
      <c r="I9" s="8">
        <f t="shared" si="3"/>
        <v>0</v>
      </c>
      <c r="J9" s="8">
        <f t="shared" si="4"/>
        <v>0</v>
      </c>
    </row>
    <row r="10" spans="1:18" ht="42.6" customHeight="1" x14ac:dyDescent="0.3">
      <c r="A10" s="4">
        <f t="shared" si="5"/>
        <v>9</v>
      </c>
      <c r="B10" s="47" t="s">
        <v>75</v>
      </c>
      <c r="C10" s="3" t="s">
        <v>168</v>
      </c>
      <c r="F10" s="5">
        <f t="shared" si="0"/>
        <v>0.2</v>
      </c>
      <c r="G10" s="3" t="str">
        <f t="shared" si="1"/>
        <v>Partially compliant – some sub-indicators met</v>
      </c>
      <c r="H10" s="8">
        <f t="shared" si="2"/>
        <v>0.2</v>
      </c>
      <c r="I10" s="8">
        <f t="shared" si="3"/>
        <v>0</v>
      </c>
      <c r="J10" s="8">
        <f t="shared" si="4"/>
        <v>0</v>
      </c>
    </row>
    <row r="11" spans="1:18" ht="42.6" customHeight="1" x14ac:dyDescent="0.3">
      <c r="A11" s="4">
        <f t="shared" si="5"/>
        <v>10</v>
      </c>
      <c r="B11" s="47" t="s">
        <v>78</v>
      </c>
      <c r="C11" s="3" t="s">
        <v>168</v>
      </c>
      <c r="F11" s="5">
        <f t="shared" si="0"/>
        <v>0.2</v>
      </c>
      <c r="G11" s="3" t="str">
        <f t="shared" si="1"/>
        <v>Partially compliant – some sub-indicators met</v>
      </c>
      <c r="H11" s="8">
        <f t="shared" si="2"/>
        <v>0.2</v>
      </c>
      <c r="I11" s="8">
        <f t="shared" si="3"/>
        <v>0</v>
      </c>
      <c r="J11" s="8">
        <f t="shared" si="4"/>
        <v>0</v>
      </c>
    </row>
    <row r="12" spans="1:18" ht="42.6" customHeight="1" x14ac:dyDescent="0.3">
      <c r="A12" s="4">
        <f t="shared" si="5"/>
        <v>11</v>
      </c>
      <c r="B12" s="28" t="s">
        <v>80</v>
      </c>
      <c r="C12" s="3" t="s">
        <v>168</v>
      </c>
      <c r="F12" s="5">
        <f t="shared" si="0"/>
        <v>0.2</v>
      </c>
      <c r="G12" s="3" t="str">
        <f t="shared" si="1"/>
        <v>Partially compliant – some sub-indicators met</v>
      </c>
      <c r="H12" s="8">
        <f t="shared" si="2"/>
        <v>0.2</v>
      </c>
      <c r="I12" s="8">
        <f t="shared" si="3"/>
        <v>0</v>
      </c>
      <c r="J12" s="8">
        <f t="shared" si="4"/>
        <v>0</v>
      </c>
    </row>
    <row r="13" spans="1:18" ht="42.6" customHeight="1" x14ac:dyDescent="0.3">
      <c r="A13" s="4">
        <f t="shared" si="5"/>
        <v>12</v>
      </c>
      <c r="B13" s="28" t="s">
        <v>82</v>
      </c>
      <c r="C13" s="3" t="s">
        <v>53</v>
      </c>
      <c r="F13" s="5">
        <f t="shared" si="0"/>
        <v>0.2</v>
      </c>
      <c r="G13" s="3" t="str">
        <f t="shared" si="1"/>
        <v>Partially compliant – some sub-indicators met</v>
      </c>
      <c r="H13" s="8">
        <f t="shared" si="2"/>
        <v>0.2</v>
      </c>
      <c r="I13" s="8">
        <f t="shared" si="3"/>
        <v>0</v>
      </c>
      <c r="J13" s="8">
        <f t="shared" si="4"/>
        <v>0</v>
      </c>
    </row>
    <row r="14" spans="1:18" ht="42.6" customHeight="1" x14ac:dyDescent="0.3">
      <c r="A14" s="4">
        <f t="shared" si="5"/>
        <v>13</v>
      </c>
      <c r="B14" s="28" t="s">
        <v>84</v>
      </c>
      <c r="C14" s="3" t="s">
        <v>168</v>
      </c>
      <c r="F14" s="5">
        <f t="shared" si="0"/>
        <v>0.2</v>
      </c>
      <c r="G14" s="3" t="str">
        <f t="shared" si="1"/>
        <v>Partially compliant – some sub-indicators met</v>
      </c>
      <c r="H14" s="8">
        <f t="shared" si="2"/>
        <v>0.2</v>
      </c>
      <c r="I14" s="8">
        <f t="shared" si="3"/>
        <v>0</v>
      </c>
      <c r="J14" s="8">
        <f t="shared" si="4"/>
        <v>0</v>
      </c>
    </row>
    <row r="15" spans="1:18" ht="42.6" customHeight="1" x14ac:dyDescent="0.3">
      <c r="A15" s="4">
        <f t="shared" si="5"/>
        <v>14</v>
      </c>
      <c r="B15" s="28" t="s">
        <v>86</v>
      </c>
      <c r="C15" s="3" t="s">
        <v>168</v>
      </c>
      <c r="F15" s="5">
        <f t="shared" si="0"/>
        <v>0.2</v>
      </c>
      <c r="G15" s="3" t="str">
        <f t="shared" si="1"/>
        <v>Partially compliant – some sub-indicators met</v>
      </c>
      <c r="H15" s="8">
        <f t="shared" si="2"/>
        <v>0.2</v>
      </c>
      <c r="I15" s="8">
        <f t="shared" si="3"/>
        <v>0</v>
      </c>
      <c r="J15" s="8">
        <f t="shared" si="4"/>
        <v>0</v>
      </c>
    </row>
    <row r="16" spans="1:18" ht="42.6" customHeight="1" x14ac:dyDescent="0.3">
      <c r="A16" s="4">
        <f t="shared" si="5"/>
        <v>15</v>
      </c>
      <c r="B16" s="28" t="s">
        <v>88</v>
      </c>
      <c r="C16" s="3" t="s">
        <v>168</v>
      </c>
      <c r="F16" s="5">
        <f t="shared" si="0"/>
        <v>0.2</v>
      </c>
      <c r="G16" s="3" t="str">
        <f t="shared" si="1"/>
        <v>Partially compliant – some sub-indicators met</v>
      </c>
      <c r="H16" s="8">
        <f t="shared" si="2"/>
        <v>0.2</v>
      </c>
      <c r="I16" s="8">
        <f t="shared" si="3"/>
        <v>0</v>
      </c>
      <c r="J16" s="8">
        <f t="shared" si="4"/>
        <v>0</v>
      </c>
    </row>
    <row r="17" spans="1:10" ht="42.6" customHeight="1" x14ac:dyDescent="0.3">
      <c r="A17" s="4">
        <f t="shared" si="5"/>
        <v>16</v>
      </c>
      <c r="B17" s="28" t="s">
        <v>90</v>
      </c>
      <c r="C17" s="3" t="s">
        <v>168</v>
      </c>
      <c r="F17" s="5">
        <f t="shared" si="0"/>
        <v>0.2</v>
      </c>
      <c r="G17" s="3" t="str">
        <f t="shared" si="1"/>
        <v>Partially compliant – some sub-indicators met</v>
      </c>
      <c r="H17" s="8">
        <f t="shared" si="2"/>
        <v>0.2</v>
      </c>
      <c r="I17" s="8">
        <f t="shared" si="3"/>
        <v>0</v>
      </c>
      <c r="J17" s="8">
        <f t="shared" si="4"/>
        <v>0</v>
      </c>
    </row>
    <row r="18" spans="1:10" ht="42.6" customHeight="1" x14ac:dyDescent="0.3">
      <c r="A18" s="4">
        <f t="shared" si="5"/>
        <v>17</v>
      </c>
      <c r="B18" s="28" t="s">
        <v>91</v>
      </c>
      <c r="C18" s="3" t="s">
        <v>168</v>
      </c>
      <c r="F18" s="5">
        <f t="shared" si="0"/>
        <v>0.2</v>
      </c>
      <c r="G18" s="3" t="str">
        <f t="shared" si="1"/>
        <v>Partially compliant – some sub-indicators met</v>
      </c>
      <c r="H18" s="8">
        <f t="shared" si="2"/>
        <v>0.2</v>
      </c>
      <c r="I18" s="8">
        <f t="shared" si="3"/>
        <v>0</v>
      </c>
      <c r="J18" s="8">
        <f t="shared" si="4"/>
        <v>0</v>
      </c>
    </row>
    <row r="19" spans="1:10" ht="42.6" customHeight="1" x14ac:dyDescent="0.3">
      <c r="A19" s="4">
        <f t="shared" si="5"/>
        <v>18</v>
      </c>
      <c r="B19" s="28" t="s">
        <v>92</v>
      </c>
      <c r="C19" s="3" t="s">
        <v>168</v>
      </c>
      <c r="F19" s="5">
        <f t="shared" si="0"/>
        <v>0.2</v>
      </c>
      <c r="G19" s="3" t="str">
        <f t="shared" si="1"/>
        <v>Partially compliant – some sub-indicators met</v>
      </c>
      <c r="H19" s="8">
        <f t="shared" si="2"/>
        <v>0.2</v>
      </c>
      <c r="I19" s="8">
        <f t="shared" si="3"/>
        <v>0</v>
      </c>
      <c r="J19" s="8">
        <f t="shared" si="4"/>
        <v>0</v>
      </c>
    </row>
    <row r="20" spans="1:10" ht="42.6" customHeight="1" x14ac:dyDescent="0.3">
      <c r="A20" s="4">
        <f t="shared" si="5"/>
        <v>19</v>
      </c>
      <c r="B20" s="28" t="s">
        <v>93</v>
      </c>
      <c r="C20" s="3" t="s">
        <v>168</v>
      </c>
      <c r="F20" s="5">
        <f t="shared" si="0"/>
        <v>0.2</v>
      </c>
      <c r="G20" s="3" t="str">
        <f t="shared" si="1"/>
        <v>Partially compliant – some sub-indicators met</v>
      </c>
      <c r="H20" s="8">
        <f t="shared" si="2"/>
        <v>0.2</v>
      </c>
      <c r="I20" s="8">
        <f t="shared" si="3"/>
        <v>0</v>
      </c>
      <c r="J20" s="8">
        <f t="shared" si="4"/>
        <v>0</v>
      </c>
    </row>
    <row r="21" spans="1:10" ht="42.6" customHeight="1" x14ac:dyDescent="0.3">
      <c r="A21" s="4">
        <f t="shared" si="5"/>
        <v>20</v>
      </c>
      <c r="B21" s="28" t="s">
        <v>94</v>
      </c>
      <c r="C21" s="3" t="s">
        <v>168</v>
      </c>
      <c r="F21" s="5">
        <f t="shared" si="0"/>
        <v>0.2</v>
      </c>
      <c r="G21" s="3" t="str">
        <f t="shared" si="1"/>
        <v>Partially compliant – some sub-indicators met</v>
      </c>
      <c r="H21" s="8">
        <f t="shared" si="2"/>
        <v>0.2</v>
      </c>
      <c r="I21" s="8">
        <f t="shared" si="3"/>
        <v>0</v>
      </c>
      <c r="J21" s="8">
        <f t="shared" si="4"/>
        <v>0</v>
      </c>
    </row>
    <row r="22" spans="1:10" ht="42.6" customHeight="1" x14ac:dyDescent="0.3">
      <c r="A22" s="4">
        <f t="shared" si="5"/>
        <v>21</v>
      </c>
      <c r="B22" s="28" t="s">
        <v>96</v>
      </c>
      <c r="C22" s="3" t="s">
        <v>168</v>
      </c>
      <c r="F22" s="5">
        <f t="shared" si="0"/>
        <v>0.2</v>
      </c>
      <c r="G22" s="3" t="str">
        <f t="shared" si="1"/>
        <v>Partially compliant – some sub-indicators met</v>
      </c>
      <c r="H22" s="8">
        <f t="shared" si="2"/>
        <v>0.2</v>
      </c>
      <c r="I22" s="8">
        <f t="shared" si="3"/>
        <v>0</v>
      </c>
      <c r="J22" s="8">
        <f t="shared" si="4"/>
        <v>0</v>
      </c>
    </row>
    <row r="23" spans="1:10" ht="42.6" customHeight="1" x14ac:dyDescent="0.3">
      <c r="A23" s="4">
        <f t="shared" si="5"/>
        <v>22</v>
      </c>
      <c r="B23" s="28" t="s">
        <v>97</v>
      </c>
      <c r="C23" s="3" t="s">
        <v>168</v>
      </c>
      <c r="F23" s="5">
        <f t="shared" si="0"/>
        <v>0.2</v>
      </c>
      <c r="G23" s="3" t="str">
        <f t="shared" si="1"/>
        <v>Partially compliant – some sub-indicators met</v>
      </c>
      <c r="H23" s="8">
        <f t="shared" si="2"/>
        <v>0.2</v>
      </c>
      <c r="I23" s="8">
        <f t="shared" si="3"/>
        <v>0</v>
      </c>
      <c r="J23" s="8">
        <f t="shared" si="4"/>
        <v>0</v>
      </c>
    </row>
    <row r="24" spans="1:10" ht="42.6" customHeight="1" x14ac:dyDescent="0.3">
      <c r="A24" s="4">
        <f t="shared" si="5"/>
        <v>23</v>
      </c>
      <c r="B24" s="28" t="s">
        <v>99</v>
      </c>
      <c r="C24" s="3" t="s">
        <v>168</v>
      </c>
      <c r="F24" s="5">
        <f t="shared" si="0"/>
        <v>0.2</v>
      </c>
      <c r="G24" s="3" t="str">
        <f t="shared" si="1"/>
        <v>Partially compliant – some sub-indicators met</v>
      </c>
      <c r="H24" s="8">
        <f t="shared" si="2"/>
        <v>0.2</v>
      </c>
      <c r="I24" s="8">
        <f t="shared" si="3"/>
        <v>0</v>
      </c>
      <c r="J24" s="8">
        <f t="shared" si="4"/>
        <v>0</v>
      </c>
    </row>
    <row r="25" spans="1:10" ht="42.6" customHeight="1" x14ac:dyDescent="0.3">
      <c r="A25" s="4">
        <f t="shared" si="5"/>
        <v>24</v>
      </c>
      <c r="B25" s="28" t="s">
        <v>100</v>
      </c>
      <c r="C25" s="3" t="s">
        <v>168</v>
      </c>
      <c r="F25" s="5">
        <f t="shared" si="0"/>
        <v>0.2</v>
      </c>
      <c r="G25" s="3" t="str">
        <f t="shared" si="1"/>
        <v>Partially compliant – some sub-indicators met</v>
      </c>
      <c r="H25" s="8">
        <f t="shared" si="2"/>
        <v>0.2</v>
      </c>
      <c r="I25" s="8">
        <f t="shared" si="3"/>
        <v>0</v>
      </c>
      <c r="J25" s="8">
        <f t="shared" si="4"/>
        <v>0</v>
      </c>
    </row>
    <row r="26" spans="1:10" ht="42.6" customHeight="1" x14ac:dyDescent="0.3">
      <c r="A26" s="4">
        <f t="shared" si="5"/>
        <v>25</v>
      </c>
      <c r="B26" s="28" t="s">
        <v>103</v>
      </c>
      <c r="C26" s="3" t="s">
        <v>60</v>
      </c>
      <c r="F26" s="5">
        <f t="shared" si="0"/>
        <v>0</v>
      </c>
      <c r="G26" s="3" t="str">
        <f t="shared" si="1"/>
        <v>Non-compliant – critical failure</v>
      </c>
      <c r="H26" s="8">
        <f t="shared" si="2"/>
        <v>0</v>
      </c>
      <c r="I26" s="8">
        <f t="shared" si="3"/>
        <v>0</v>
      </c>
      <c r="J26" s="8">
        <f t="shared" si="4"/>
        <v>0</v>
      </c>
    </row>
    <row r="27" spans="1:10" ht="42.6" customHeight="1" x14ac:dyDescent="0.3">
      <c r="A27" s="4">
        <f t="shared" si="5"/>
        <v>26</v>
      </c>
      <c r="B27" s="28" t="s">
        <v>105</v>
      </c>
      <c r="C27" s="3" t="s">
        <v>60</v>
      </c>
      <c r="F27" s="5">
        <f t="shared" si="0"/>
        <v>0</v>
      </c>
      <c r="G27" s="3" t="str">
        <f t="shared" si="1"/>
        <v>Non-compliant – critical failure</v>
      </c>
      <c r="H27" s="8">
        <f t="shared" si="2"/>
        <v>0</v>
      </c>
      <c r="I27" s="8">
        <f t="shared" si="3"/>
        <v>0</v>
      </c>
      <c r="J27" s="8">
        <f t="shared" si="4"/>
        <v>0</v>
      </c>
    </row>
    <row r="28" spans="1:10" ht="42.6" customHeight="1" x14ac:dyDescent="0.3">
      <c r="A28" s="4">
        <f t="shared" si="5"/>
        <v>27</v>
      </c>
      <c r="B28" s="28" t="s">
        <v>107</v>
      </c>
      <c r="C28" s="3" t="s">
        <v>168</v>
      </c>
      <c r="F28" s="5">
        <f t="shared" si="0"/>
        <v>0.2</v>
      </c>
      <c r="G28" s="3" t="str">
        <f t="shared" si="1"/>
        <v>Partially compliant – some sub-indicators met</v>
      </c>
      <c r="H28" s="8">
        <f t="shared" si="2"/>
        <v>0.2</v>
      </c>
      <c r="I28" s="8">
        <f t="shared" si="3"/>
        <v>0</v>
      </c>
      <c r="J28" s="8">
        <f t="shared" si="4"/>
        <v>0</v>
      </c>
    </row>
    <row r="29" spans="1:10" ht="42.6" customHeight="1" x14ac:dyDescent="0.3">
      <c r="A29" s="4">
        <f t="shared" si="5"/>
        <v>28</v>
      </c>
      <c r="B29" s="28" t="s">
        <v>110</v>
      </c>
      <c r="C29" s="3" t="s">
        <v>60</v>
      </c>
      <c r="F29" s="5">
        <f t="shared" si="0"/>
        <v>0</v>
      </c>
      <c r="G29" s="3" t="str">
        <f t="shared" si="1"/>
        <v>Non-compliant – critical failure</v>
      </c>
      <c r="H29" s="8">
        <f t="shared" si="2"/>
        <v>0</v>
      </c>
      <c r="I29" s="8">
        <f t="shared" si="3"/>
        <v>0</v>
      </c>
      <c r="J29" s="8">
        <f t="shared" si="4"/>
        <v>0</v>
      </c>
    </row>
    <row r="30" spans="1:10" ht="42.6" customHeight="1" x14ac:dyDescent="0.3">
      <c r="A30" s="4">
        <f t="shared" si="5"/>
        <v>29</v>
      </c>
      <c r="B30" s="28" t="s">
        <v>111</v>
      </c>
      <c r="C30" s="3" t="s">
        <v>168</v>
      </c>
      <c r="F30" s="5">
        <f t="shared" si="0"/>
        <v>0.2</v>
      </c>
      <c r="G30" s="3" t="str">
        <f t="shared" si="1"/>
        <v>Partially compliant – some sub-indicators met</v>
      </c>
      <c r="H30" s="8">
        <f t="shared" si="2"/>
        <v>0.2</v>
      </c>
      <c r="I30" s="8">
        <f t="shared" si="3"/>
        <v>0</v>
      </c>
      <c r="J30" s="8">
        <f t="shared" si="4"/>
        <v>0</v>
      </c>
    </row>
    <row r="31" spans="1:10" ht="42.6" customHeight="1" x14ac:dyDescent="0.3">
      <c r="A31" s="4">
        <f t="shared" si="5"/>
        <v>30</v>
      </c>
      <c r="B31" s="28" t="s">
        <v>84</v>
      </c>
      <c r="C31" s="3" t="s">
        <v>168</v>
      </c>
      <c r="F31" s="5">
        <f t="shared" si="0"/>
        <v>0.2</v>
      </c>
      <c r="G31" s="3" t="str">
        <f t="shared" si="1"/>
        <v>Partially compliant – some sub-indicators met</v>
      </c>
      <c r="H31" s="8">
        <f t="shared" si="2"/>
        <v>0.2</v>
      </c>
      <c r="I31" s="8">
        <f t="shared" si="3"/>
        <v>0</v>
      </c>
      <c r="J31" s="8">
        <f t="shared" si="4"/>
        <v>0</v>
      </c>
    </row>
    <row r="32" spans="1:10" ht="42.6" customHeight="1" x14ac:dyDescent="0.3">
      <c r="A32" s="4">
        <f t="shared" si="5"/>
        <v>31</v>
      </c>
      <c r="B32" s="28" t="s">
        <v>113</v>
      </c>
      <c r="C32" s="3" t="s">
        <v>168</v>
      </c>
      <c r="F32" s="5">
        <f t="shared" si="0"/>
        <v>0.2</v>
      </c>
      <c r="G32" s="3" t="str">
        <f t="shared" si="1"/>
        <v>Partially compliant – some sub-indicators met</v>
      </c>
      <c r="H32" s="8">
        <f t="shared" si="2"/>
        <v>0.2</v>
      </c>
      <c r="I32" s="8">
        <f t="shared" si="3"/>
        <v>0</v>
      </c>
      <c r="J32" s="8">
        <f t="shared" si="4"/>
        <v>0</v>
      </c>
    </row>
    <row r="33" spans="1:10" ht="42.6" customHeight="1" x14ac:dyDescent="0.3">
      <c r="A33" s="4">
        <f t="shared" si="5"/>
        <v>32</v>
      </c>
      <c r="B33" s="28" t="s">
        <v>115</v>
      </c>
      <c r="C33" s="3" t="s">
        <v>168</v>
      </c>
      <c r="F33" s="5">
        <f t="shared" si="0"/>
        <v>0.2</v>
      </c>
      <c r="G33" s="3" t="str">
        <f t="shared" si="1"/>
        <v>Partially compliant – some sub-indicators met</v>
      </c>
      <c r="H33" s="8">
        <f t="shared" si="2"/>
        <v>0.2</v>
      </c>
      <c r="I33" s="8">
        <f t="shared" si="3"/>
        <v>0</v>
      </c>
      <c r="J33" s="8">
        <f t="shared" si="4"/>
        <v>0</v>
      </c>
    </row>
    <row r="34" spans="1:10" ht="42.6" customHeight="1" x14ac:dyDescent="0.3">
      <c r="A34" s="4">
        <f t="shared" si="5"/>
        <v>33</v>
      </c>
      <c r="B34" s="28" t="s">
        <v>116</v>
      </c>
      <c r="C34" s="3" t="s">
        <v>168</v>
      </c>
      <c r="F34" s="5">
        <f t="shared" si="0"/>
        <v>0.2</v>
      </c>
      <c r="G34" s="3" t="str">
        <f t="shared" si="1"/>
        <v>Partially compliant – some sub-indicators met</v>
      </c>
      <c r="H34" s="8">
        <f t="shared" si="2"/>
        <v>0.2</v>
      </c>
      <c r="I34" s="8">
        <f t="shared" si="3"/>
        <v>0</v>
      </c>
      <c r="J34" s="8">
        <f t="shared" si="4"/>
        <v>0</v>
      </c>
    </row>
    <row r="35" spans="1:10" ht="42.6" customHeight="1" x14ac:dyDescent="0.3">
      <c r="A35" s="4">
        <f t="shared" si="5"/>
        <v>34</v>
      </c>
      <c r="B35" s="28" t="s">
        <v>117</v>
      </c>
      <c r="C35" s="3" t="s">
        <v>168</v>
      </c>
      <c r="F35" s="5">
        <f t="shared" si="0"/>
        <v>0.2</v>
      </c>
      <c r="G35" s="3" t="str">
        <f t="shared" si="1"/>
        <v>Partially compliant – some sub-indicators met</v>
      </c>
      <c r="H35" s="8">
        <f t="shared" si="2"/>
        <v>0.2</v>
      </c>
      <c r="I35" s="8">
        <f t="shared" si="3"/>
        <v>0</v>
      </c>
      <c r="J35" s="8">
        <f t="shared" si="4"/>
        <v>0</v>
      </c>
    </row>
    <row r="36" spans="1:10" ht="42.6" customHeight="1" x14ac:dyDescent="0.3">
      <c r="A36" s="4">
        <f t="shared" si="5"/>
        <v>35</v>
      </c>
      <c r="B36" s="39" t="s">
        <v>283</v>
      </c>
      <c r="C36" s="28" t="s">
        <v>53</v>
      </c>
      <c r="D36" s="28" t="s">
        <v>289</v>
      </c>
      <c r="E36" s="28" t="s">
        <v>289</v>
      </c>
      <c r="F36" s="5">
        <f t="shared" si="0"/>
        <v>1</v>
      </c>
      <c r="G36" s="3" t="str">
        <f t="shared" si="1"/>
        <v>Fully compliant – all sub-indicators met</v>
      </c>
      <c r="H36" s="8">
        <f t="shared" si="2"/>
        <v>0.2</v>
      </c>
      <c r="I36" s="8">
        <f t="shared" si="3"/>
        <v>0.4</v>
      </c>
      <c r="J36" s="8">
        <f t="shared" si="4"/>
        <v>0.4</v>
      </c>
    </row>
    <row r="37" spans="1:10" ht="42.6" customHeight="1" x14ac:dyDescent="0.3">
      <c r="A37" s="4">
        <f t="shared" si="5"/>
        <v>36</v>
      </c>
      <c r="B37" s="39" t="s">
        <v>291</v>
      </c>
      <c r="C37" s="28" t="s">
        <v>53</v>
      </c>
      <c r="D37" s="28" t="s">
        <v>53</v>
      </c>
      <c r="E37" s="28" t="s">
        <v>53</v>
      </c>
      <c r="F37" s="5">
        <f t="shared" si="0"/>
        <v>1</v>
      </c>
      <c r="G37" s="3" t="str">
        <f t="shared" si="1"/>
        <v>Fully compliant – all sub-indicators met</v>
      </c>
      <c r="H37" s="8">
        <f t="shared" si="2"/>
        <v>0.2</v>
      </c>
      <c r="I37" s="8">
        <f t="shared" si="3"/>
        <v>0.4</v>
      </c>
      <c r="J37" s="8">
        <f t="shared" si="4"/>
        <v>0.4</v>
      </c>
    </row>
    <row r="38" spans="1:10" ht="42.6" customHeight="1" x14ac:dyDescent="0.3">
      <c r="A38" s="4">
        <f t="shared" si="5"/>
        <v>37</v>
      </c>
      <c r="B38" s="39" t="s">
        <v>296</v>
      </c>
      <c r="C38" s="28" t="s">
        <v>53</v>
      </c>
      <c r="D38" s="28" t="s">
        <v>53</v>
      </c>
      <c r="E38" s="28" t="s">
        <v>53</v>
      </c>
      <c r="F38" s="5">
        <f t="shared" si="0"/>
        <v>1</v>
      </c>
      <c r="G38" s="3" t="str">
        <f t="shared" si="1"/>
        <v>Fully compliant – all sub-indicators met</v>
      </c>
      <c r="H38" s="8">
        <f t="shared" si="2"/>
        <v>0.2</v>
      </c>
      <c r="I38" s="8">
        <f t="shared" si="3"/>
        <v>0.4</v>
      </c>
      <c r="J38" s="8">
        <f t="shared" si="4"/>
        <v>0.4</v>
      </c>
    </row>
    <row r="39" spans="1:10" ht="42.6" customHeight="1" x14ac:dyDescent="0.3">
      <c r="A39" s="4">
        <f t="shared" si="5"/>
        <v>38</v>
      </c>
      <c r="B39" s="39" t="s">
        <v>297</v>
      </c>
      <c r="C39" s="28" t="s">
        <v>53</v>
      </c>
      <c r="D39" s="28" t="s">
        <v>53</v>
      </c>
      <c r="E39" s="28" t="s">
        <v>53</v>
      </c>
      <c r="F39" s="5">
        <f t="shared" si="0"/>
        <v>1</v>
      </c>
      <c r="G39" s="3" t="str">
        <f t="shared" si="1"/>
        <v>Fully compliant – all sub-indicators met</v>
      </c>
      <c r="H39" s="8">
        <f t="shared" si="2"/>
        <v>0.2</v>
      </c>
      <c r="I39" s="8">
        <f t="shared" si="3"/>
        <v>0.4</v>
      </c>
      <c r="J39" s="8">
        <f t="shared" si="4"/>
        <v>0.4</v>
      </c>
    </row>
    <row r="40" spans="1:10" ht="42.6" customHeight="1" x14ac:dyDescent="0.3">
      <c r="A40" s="4">
        <f t="shared" si="5"/>
        <v>39</v>
      </c>
      <c r="B40" s="39" t="s">
        <v>300</v>
      </c>
      <c r="C40" s="28" t="s">
        <v>53</v>
      </c>
      <c r="D40" s="28" t="s">
        <v>53</v>
      </c>
      <c r="E40" s="28" t="s">
        <v>53</v>
      </c>
      <c r="F40" s="5">
        <f t="shared" si="0"/>
        <v>1</v>
      </c>
      <c r="G40" s="3" t="str">
        <f t="shared" si="1"/>
        <v>Fully compliant – all sub-indicators met</v>
      </c>
      <c r="H40" s="8">
        <f t="shared" si="2"/>
        <v>0.2</v>
      </c>
      <c r="I40" s="8">
        <f t="shared" si="3"/>
        <v>0.4</v>
      </c>
      <c r="J40" s="8">
        <f t="shared" si="4"/>
        <v>0.4</v>
      </c>
    </row>
    <row r="41" spans="1:10" ht="42.6" customHeight="1" x14ac:dyDescent="0.3">
      <c r="A41" s="4">
        <f t="shared" si="5"/>
        <v>40</v>
      </c>
      <c r="B41" s="39" t="s">
        <v>306</v>
      </c>
      <c r="C41" s="28" t="s">
        <v>53</v>
      </c>
      <c r="D41" s="28" t="s">
        <v>53</v>
      </c>
      <c r="E41" s="28" t="s">
        <v>53</v>
      </c>
      <c r="F41" s="5">
        <f t="shared" si="0"/>
        <v>1</v>
      </c>
      <c r="G41" s="3" t="str">
        <f t="shared" si="1"/>
        <v>Fully compliant – all sub-indicators met</v>
      </c>
      <c r="H41" s="8">
        <f t="shared" si="2"/>
        <v>0.2</v>
      </c>
      <c r="I41" s="8">
        <f t="shared" si="3"/>
        <v>0.4</v>
      </c>
      <c r="J41" s="8">
        <f t="shared" si="4"/>
        <v>0.4</v>
      </c>
    </row>
    <row r="42" spans="1:10" ht="42.6" customHeight="1" x14ac:dyDescent="0.3">
      <c r="A42" s="4">
        <f t="shared" si="5"/>
        <v>41</v>
      </c>
      <c r="B42" s="39" t="s">
        <v>308</v>
      </c>
      <c r="C42" s="28" t="s">
        <v>60</v>
      </c>
      <c r="D42" s="28" t="s">
        <v>60</v>
      </c>
      <c r="E42" s="28" t="s">
        <v>60</v>
      </c>
      <c r="F42" s="5">
        <f t="shared" si="0"/>
        <v>0</v>
      </c>
      <c r="G42" s="3" t="str">
        <f t="shared" si="1"/>
        <v>Non-compliant – critical failure</v>
      </c>
      <c r="H42" s="8">
        <f t="shared" si="2"/>
        <v>0</v>
      </c>
      <c r="I42" s="8">
        <f>IF(UPPER(D42)="YES",0.4,0)</f>
        <v>0</v>
      </c>
      <c r="J42" s="8">
        <f>IF(UPPER(E42)="YES",0.4,0)</f>
        <v>0</v>
      </c>
    </row>
    <row r="43" spans="1:10" ht="42.6" customHeight="1" x14ac:dyDescent="0.3">
      <c r="A43" s="4">
        <f t="shared" si="5"/>
        <v>42</v>
      </c>
      <c r="B43" s="39" t="s">
        <v>311</v>
      </c>
      <c r="C43" s="28" t="s">
        <v>53</v>
      </c>
      <c r="D43" s="28" t="s">
        <v>60</v>
      </c>
      <c r="E43" s="28" t="s">
        <v>60</v>
      </c>
      <c r="F43" s="5">
        <f t="shared" si="0"/>
        <v>0.2</v>
      </c>
      <c r="G43" s="3" t="str">
        <f t="shared" si="1"/>
        <v>Partially compliant – some sub-indicators met</v>
      </c>
      <c r="H43" s="8">
        <f t="shared" si="2"/>
        <v>0.2</v>
      </c>
      <c r="I43" s="8">
        <f t="shared" si="3"/>
        <v>0</v>
      </c>
      <c r="J43" s="8">
        <f t="shared" si="4"/>
        <v>0</v>
      </c>
    </row>
    <row r="44" spans="1:10" ht="42.6" customHeight="1" x14ac:dyDescent="0.3">
      <c r="A44" s="4">
        <f t="shared" si="5"/>
        <v>43</v>
      </c>
      <c r="B44" s="39" t="s">
        <v>315</v>
      </c>
      <c r="C44" s="28" t="s">
        <v>53</v>
      </c>
      <c r="D44" s="28" t="s">
        <v>53</v>
      </c>
      <c r="E44" s="28" t="s">
        <v>53</v>
      </c>
      <c r="F44" s="5">
        <f t="shared" si="0"/>
        <v>1</v>
      </c>
      <c r="G44" s="3" t="str">
        <f t="shared" si="1"/>
        <v>Fully compliant – all sub-indicators met</v>
      </c>
      <c r="H44" s="8">
        <f t="shared" si="2"/>
        <v>0.2</v>
      </c>
      <c r="I44" s="8">
        <f t="shared" si="3"/>
        <v>0.4</v>
      </c>
      <c r="J44" s="8">
        <f t="shared" si="4"/>
        <v>0.4</v>
      </c>
    </row>
    <row r="45" spans="1:10" ht="42.6" customHeight="1" x14ac:dyDescent="0.3">
      <c r="A45" s="4">
        <f t="shared" si="5"/>
        <v>44</v>
      </c>
      <c r="B45" s="39" t="s">
        <v>319</v>
      </c>
      <c r="C45" s="28" t="s">
        <v>60</v>
      </c>
      <c r="D45" s="28" t="s">
        <v>53</v>
      </c>
      <c r="E45" s="28" t="s">
        <v>53</v>
      </c>
      <c r="F45" s="5">
        <f t="shared" si="0"/>
        <v>0.8</v>
      </c>
      <c r="G45" s="3" t="str">
        <f t="shared" si="1"/>
        <v>Partially compliant – some sub-indicators met</v>
      </c>
      <c r="H45" s="8">
        <f t="shared" si="2"/>
        <v>0</v>
      </c>
      <c r="I45" s="8">
        <f t="shared" si="3"/>
        <v>0.4</v>
      </c>
      <c r="J45" s="8">
        <f t="shared" si="4"/>
        <v>0.4</v>
      </c>
    </row>
    <row r="46" spans="1:10" ht="42.6" customHeight="1" x14ac:dyDescent="0.3">
      <c r="A46" s="4">
        <f t="shared" si="5"/>
        <v>45</v>
      </c>
      <c r="B46" s="39" t="s">
        <v>322</v>
      </c>
      <c r="C46" s="28" t="s">
        <v>53</v>
      </c>
      <c r="D46" s="28" t="s">
        <v>53</v>
      </c>
      <c r="E46" s="28" t="s">
        <v>53</v>
      </c>
      <c r="F46" s="5">
        <f t="shared" si="0"/>
        <v>1</v>
      </c>
      <c r="G46" s="3" t="str">
        <f t="shared" si="1"/>
        <v>Fully compliant – all sub-indicators met</v>
      </c>
      <c r="H46" s="8">
        <f t="shared" si="2"/>
        <v>0.2</v>
      </c>
      <c r="I46" s="8">
        <f t="shared" si="3"/>
        <v>0.4</v>
      </c>
      <c r="J46" s="8">
        <f t="shared" si="4"/>
        <v>0.4</v>
      </c>
    </row>
    <row r="47" spans="1:10" ht="42.6" customHeight="1" x14ac:dyDescent="0.3">
      <c r="A47" s="4">
        <f t="shared" si="5"/>
        <v>46</v>
      </c>
      <c r="B47" s="39" t="s">
        <v>326</v>
      </c>
      <c r="C47" s="28" t="s">
        <v>53</v>
      </c>
      <c r="D47" s="28" t="s">
        <v>53</v>
      </c>
      <c r="E47" s="28" t="s">
        <v>53</v>
      </c>
      <c r="F47" s="5">
        <f t="shared" si="0"/>
        <v>1</v>
      </c>
      <c r="G47" s="3" t="str">
        <f t="shared" si="1"/>
        <v>Fully compliant – all sub-indicators met</v>
      </c>
      <c r="H47" s="8">
        <f t="shared" si="2"/>
        <v>0.2</v>
      </c>
      <c r="I47" s="8">
        <f t="shared" si="3"/>
        <v>0.4</v>
      </c>
      <c r="J47" s="8">
        <f t="shared" si="4"/>
        <v>0.4</v>
      </c>
    </row>
    <row r="48" spans="1:10" ht="42.6" customHeight="1" x14ac:dyDescent="0.3">
      <c r="A48" s="4">
        <f t="shared" si="5"/>
        <v>47</v>
      </c>
      <c r="B48" s="39" t="s">
        <v>327</v>
      </c>
      <c r="C48" s="28" t="s">
        <v>53</v>
      </c>
      <c r="D48" s="28" t="s">
        <v>53</v>
      </c>
      <c r="E48" s="28" t="s">
        <v>53</v>
      </c>
      <c r="F48" s="5">
        <f t="shared" si="0"/>
        <v>1</v>
      </c>
      <c r="G48" s="3" t="str">
        <f t="shared" si="1"/>
        <v>Fully compliant – all sub-indicators met</v>
      </c>
      <c r="H48" s="8">
        <f t="shared" si="2"/>
        <v>0.2</v>
      </c>
      <c r="I48" s="8">
        <f t="shared" si="3"/>
        <v>0.4</v>
      </c>
      <c r="J48" s="8">
        <f t="shared" si="4"/>
        <v>0.4</v>
      </c>
    </row>
    <row r="49" spans="1:10" ht="42.6" customHeight="1" x14ac:dyDescent="0.3">
      <c r="A49" s="4">
        <f t="shared" si="5"/>
        <v>48</v>
      </c>
      <c r="B49" s="39" t="s">
        <v>330</v>
      </c>
      <c r="C49" s="28" t="s">
        <v>53</v>
      </c>
      <c r="D49" s="28" t="s">
        <v>53</v>
      </c>
      <c r="E49" s="28" t="s">
        <v>53</v>
      </c>
      <c r="F49" s="5">
        <f t="shared" si="0"/>
        <v>1</v>
      </c>
      <c r="G49" s="3" t="str">
        <f t="shared" si="1"/>
        <v>Fully compliant – all sub-indicators met</v>
      </c>
      <c r="H49" s="8">
        <f t="shared" si="2"/>
        <v>0.2</v>
      </c>
      <c r="I49" s="8">
        <f t="shared" si="3"/>
        <v>0.4</v>
      </c>
      <c r="J49" s="8">
        <f t="shared" si="4"/>
        <v>0.4</v>
      </c>
    </row>
    <row r="50" spans="1:10" ht="42.6" customHeight="1" x14ac:dyDescent="0.3">
      <c r="A50" s="4">
        <f t="shared" si="5"/>
        <v>49</v>
      </c>
      <c r="B50" s="39" t="str">
        <f>Spatial!B50</f>
        <v>Waling_WSUC</v>
      </c>
      <c r="C50" s="28" t="s">
        <v>53</v>
      </c>
      <c r="D50" s="28" t="s">
        <v>53</v>
      </c>
      <c r="E50" s="28" t="s">
        <v>53</v>
      </c>
      <c r="F50" s="5">
        <f t="shared" si="0"/>
        <v>1</v>
      </c>
      <c r="G50" s="3" t="str">
        <f t="shared" si="1"/>
        <v>Fully compliant – all sub-indicators met</v>
      </c>
      <c r="H50" s="8">
        <f t="shared" si="2"/>
        <v>0.2</v>
      </c>
      <c r="I50" s="8">
        <f t="shared" si="3"/>
        <v>0.4</v>
      </c>
      <c r="J50" s="8">
        <f t="shared" si="4"/>
        <v>0.4</v>
      </c>
    </row>
    <row r="51" spans="1:10" ht="42.6" customHeight="1" x14ac:dyDescent="0.3">
      <c r="A51" s="4">
        <f t="shared" si="5"/>
        <v>50</v>
      </c>
      <c r="B51" s="39" t="str">
        <f>Spatial!B51</f>
        <v>Baglung_WSUC</v>
      </c>
      <c r="C51" s="28" t="s">
        <v>53</v>
      </c>
      <c r="D51" s="28" t="s">
        <v>53</v>
      </c>
      <c r="E51" s="28" t="s">
        <v>53</v>
      </c>
      <c r="F51" s="5">
        <f t="shared" si="0"/>
        <v>1</v>
      </c>
      <c r="G51" s="3" t="str">
        <f t="shared" si="1"/>
        <v>Fully compliant – all sub-indicators met</v>
      </c>
      <c r="H51" s="8">
        <f t="shared" si="2"/>
        <v>0.2</v>
      </c>
      <c r="I51" s="8">
        <f t="shared" si="3"/>
        <v>0.4</v>
      </c>
      <c r="J51" s="8">
        <f t="shared" si="4"/>
        <v>0.4</v>
      </c>
    </row>
    <row r="52" spans="1:10" ht="42.6" customHeight="1" x14ac:dyDescent="0.3">
      <c r="A52" s="4">
        <f t="shared" si="5"/>
        <v>51</v>
      </c>
      <c r="B52" s="39"/>
      <c r="F52" s="5">
        <f t="shared" si="0"/>
        <v>0</v>
      </c>
      <c r="G52" s="3" t="str">
        <f t="shared" si="1"/>
        <v>Non-compliant – critical failure</v>
      </c>
      <c r="H52" s="8">
        <f t="shared" si="2"/>
        <v>0</v>
      </c>
      <c r="I52" s="8">
        <f t="shared" si="3"/>
        <v>0</v>
      </c>
      <c r="J52" s="8">
        <f t="shared" si="4"/>
        <v>0</v>
      </c>
    </row>
    <row r="53" spans="1:10" ht="42.6" customHeight="1" x14ac:dyDescent="0.3">
      <c r="A53" s="4">
        <f t="shared" si="5"/>
        <v>52</v>
      </c>
      <c r="B53" s="39"/>
      <c r="F53" s="5">
        <f t="shared" si="0"/>
        <v>0</v>
      </c>
      <c r="G53" s="3" t="str">
        <f t="shared" si="1"/>
        <v>Non-compliant – critical failure</v>
      </c>
      <c r="H53" s="8">
        <f t="shared" si="2"/>
        <v>0</v>
      </c>
      <c r="I53" s="8">
        <f t="shared" si="3"/>
        <v>0</v>
      </c>
      <c r="J53" s="8">
        <f t="shared" si="4"/>
        <v>0</v>
      </c>
    </row>
    <row r="54" spans="1:10" ht="42.6" customHeight="1" x14ac:dyDescent="0.3">
      <c r="A54" s="4">
        <f t="shared" si="5"/>
        <v>53</v>
      </c>
      <c r="B54" s="39"/>
      <c r="F54" s="5">
        <f t="shared" si="0"/>
        <v>0</v>
      </c>
      <c r="G54" s="3" t="str">
        <f t="shared" si="1"/>
        <v>Non-compliant – critical failure</v>
      </c>
      <c r="H54" s="8">
        <f t="shared" si="2"/>
        <v>0</v>
      </c>
      <c r="I54" s="8">
        <f t="shared" si="3"/>
        <v>0</v>
      </c>
      <c r="J54" s="8">
        <f t="shared" si="4"/>
        <v>0</v>
      </c>
    </row>
    <row r="55" spans="1:10" ht="42.6" customHeight="1" x14ac:dyDescent="0.3">
      <c r="A55" s="4">
        <f t="shared" si="5"/>
        <v>54</v>
      </c>
      <c r="B55" s="39"/>
      <c r="F55" s="5">
        <f t="shared" si="0"/>
        <v>0</v>
      </c>
      <c r="G55" s="3" t="str">
        <f t="shared" si="1"/>
        <v>Non-compliant – critical failure</v>
      </c>
      <c r="H55" s="8">
        <f t="shared" si="2"/>
        <v>0</v>
      </c>
      <c r="I55" s="8">
        <f t="shared" si="3"/>
        <v>0</v>
      </c>
      <c r="J55" s="8">
        <f t="shared" si="4"/>
        <v>0</v>
      </c>
    </row>
    <row r="56" spans="1:10" ht="42.6" customHeight="1" x14ac:dyDescent="0.3">
      <c r="A56" s="4">
        <f t="shared" si="5"/>
        <v>55</v>
      </c>
      <c r="B56" s="39"/>
      <c r="F56" s="5">
        <f t="shared" si="0"/>
        <v>0</v>
      </c>
      <c r="G56" s="3" t="str">
        <f t="shared" si="1"/>
        <v>Non-compliant – critical failure</v>
      </c>
      <c r="H56" s="8">
        <f t="shared" si="2"/>
        <v>0</v>
      </c>
      <c r="I56" s="8">
        <f t="shared" si="3"/>
        <v>0</v>
      </c>
      <c r="J56" s="8">
        <f t="shared" si="4"/>
        <v>0</v>
      </c>
    </row>
    <row r="57" spans="1:10" ht="42.6" customHeight="1" x14ac:dyDescent="0.3">
      <c r="A57" s="4">
        <f t="shared" si="5"/>
        <v>56</v>
      </c>
      <c r="B57" s="39"/>
      <c r="F57" s="5">
        <f t="shared" si="0"/>
        <v>0</v>
      </c>
      <c r="G57" s="3" t="str">
        <f t="shared" si="1"/>
        <v>Non-compliant – critical failure</v>
      </c>
      <c r="H57" s="8">
        <f t="shared" si="2"/>
        <v>0</v>
      </c>
      <c r="I57" s="8">
        <f t="shared" si="3"/>
        <v>0</v>
      </c>
      <c r="J57" s="8">
        <f t="shared" si="4"/>
        <v>0</v>
      </c>
    </row>
    <row r="58" spans="1:10" ht="42.6" customHeight="1" x14ac:dyDescent="0.3">
      <c r="A58" s="4">
        <f t="shared" si="5"/>
        <v>57</v>
      </c>
      <c r="B58" s="39"/>
      <c r="F58" s="5">
        <f t="shared" si="0"/>
        <v>0</v>
      </c>
      <c r="G58" s="3" t="str">
        <f t="shared" si="1"/>
        <v>Non-compliant – critical failure</v>
      </c>
      <c r="H58" s="8">
        <f t="shared" si="2"/>
        <v>0</v>
      </c>
      <c r="I58" s="8">
        <f t="shared" si="3"/>
        <v>0</v>
      </c>
      <c r="J58" s="8">
        <f t="shared" si="4"/>
        <v>0</v>
      </c>
    </row>
    <row r="59" spans="1:10" ht="42.6" customHeight="1" x14ac:dyDescent="0.3">
      <c r="A59" s="4">
        <f t="shared" si="5"/>
        <v>58</v>
      </c>
      <c r="B59" s="39"/>
      <c r="F59" s="5">
        <f t="shared" si="0"/>
        <v>0</v>
      </c>
      <c r="G59" s="3" t="str">
        <f t="shared" si="1"/>
        <v>Non-compliant – critical failure</v>
      </c>
      <c r="H59" s="8">
        <f t="shared" si="2"/>
        <v>0</v>
      </c>
      <c r="I59" s="8">
        <f t="shared" si="3"/>
        <v>0</v>
      </c>
      <c r="J59" s="8">
        <f t="shared" si="4"/>
        <v>0</v>
      </c>
    </row>
    <row r="60" spans="1:10" ht="42.6" customHeight="1" x14ac:dyDescent="0.3">
      <c r="A60" s="4">
        <f t="shared" si="5"/>
        <v>59</v>
      </c>
      <c r="B60" s="39"/>
      <c r="F60" s="5">
        <f t="shared" si="0"/>
        <v>0</v>
      </c>
      <c r="G60" s="3" t="str">
        <f t="shared" si="1"/>
        <v>Non-compliant – critical failure</v>
      </c>
      <c r="H60" s="8">
        <f t="shared" si="2"/>
        <v>0</v>
      </c>
      <c r="I60" s="8">
        <f t="shared" si="3"/>
        <v>0</v>
      </c>
      <c r="J60" s="8">
        <f t="shared" si="4"/>
        <v>0</v>
      </c>
    </row>
    <row r="61" spans="1:10" ht="42.6" customHeight="1" x14ac:dyDescent="0.3">
      <c r="A61" s="4">
        <f t="shared" si="5"/>
        <v>60</v>
      </c>
      <c r="B61" s="39"/>
      <c r="F61" s="5">
        <f t="shared" si="0"/>
        <v>0</v>
      </c>
      <c r="G61" s="3" t="str">
        <f t="shared" si="1"/>
        <v>Non-compliant – critical failure</v>
      </c>
      <c r="H61" s="8">
        <f t="shared" si="2"/>
        <v>0</v>
      </c>
      <c r="I61" s="8">
        <f t="shared" si="3"/>
        <v>0</v>
      </c>
      <c r="J61" s="8">
        <f t="shared" si="4"/>
        <v>0</v>
      </c>
    </row>
    <row r="62" spans="1:10" ht="42.6" customHeight="1" x14ac:dyDescent="0.3">
      <c r="A62" s="4">
        <f t="shared" si="5"/>
        <v>61</v>
      </c>
      <c r="B62" s="39"/>
      <c r="F62" s="5">
        <f t="shared" si="0"/>
        <v>0</v>
      </c>
      <c r="G62" s="3" t="str">
        <f t="shared" si="1"/>
        <v>Non-compliant – critical failure</v>
      </c>
      <c r="H62" s="8">
        <f t="shared" si="2"/>
        <v>0</v>
      </c>
      <c r="I62" s="8">
        <f t="shared" si="3"/>
        <v>0</v>
      </c>
      <c r="J62" s="8">
        <f t="shared" si="4"/>
        <v>0</v>
      </c>
    </row>
    <row r="63" spans="1:10" ht="42.6" customHeight="1" x14ac:dyDescent="0.3">
      <c r="A63" s="4">
        <f t="shared" si="5"/>
        <v>62</v>
      </c>
      <c r="B63" s="39"/>
      <c r="F63" s="5">
        <f t="shared" si="0"/>
        <v>0</v>
      </c>
      <c r="G63" s="3" t="str">
        <f t="shared" si="1"/>
        <v>Non-compliant – critical failure</v>
      </c>
      <c r="H63" s="8">
        <f t="shared" si="2"/>
        <v>0</v>
      </c>
      <c r="I63" s="8">
        <f t="shared" si="3"/>
        <v>0</v>
      </c>
      <c r="J63" s="8">
        <f t="shared" si="4"/>
        <v>0</v>
      </c>
    </row>
    <row r="64" spans="1:10" ht="42.6" customHeight="1" x14ac:dyDescent="0.3">
      <c r="A64" s="4">
        <f t="shared" si="5"/>
        <v>63</v>
      </c>
      <c r="B64" s="39"/>
      <c r="F64" s="5">
        <f t="shared" si="0"/>
        <v>0</v>
      </c>
      <c r="G64" s="3" t="str">
        <f t="shared" si="1"/>
        <v>Non-compliant – critical failure</v>
      </c>
      <c r="H64" s="8">
        <f t="shared" si="2"/>
        <v>0</v>
      </c>
      <c r="I64" s="8">
        <f t="shared" si="3"/>
        <v>0</v>
      </c>
      <c r="J64" s="8">
        <f t="shared" si="4"/>
        <v>0</v>
      </c>
    </row>
    <row r="65" spans="1:10" ht="42.6" customHeight="1" x14ac:dyDescent="0.3">
      <c r="A65" s="4">
        <f t="shared" si="5"/>
        <v>64</v>
      </c>
      <c r="B65" s="39"/>
      <c r="F65" s="5">
        <f t="shared" si="0"/>
        <v>0</v>
      </c>
      <c r="G65" s="3" t="str">
        <f t="shared" si="1"/>
        <v>Non-compliant – critical failure</v>
      </c>
      <c r="H65" s="8">
        <f t="shared" si="2"/>
        <v>0</v>
      </c>
      <c r="I65" s="8">
        <f t="shared" si="3"/>
        <v>0</v>
      </c>
      <c r="J65" s="8">
        <f t="shared" si="4"/>
        <v>0</v>
      </c>
    </row>
    <row r="66" spans="1:10" ht="42.6" customHeight="1" x14ac:dyDescent="0.3">
      <c r="A66" s="4">
        <f t="shared" si="5"/>
        <v>65</v>
      </c>
      <c r="B66" s="39"/>
      <c r="F66" s="5">
        <f t="shared" ref="F66:F84" si="6">SUM(H66:J66)</f>
        <v>0</v>
      </c>
      <c r="G66" s="3" t="str">
        <f t="shared" ref="G66:G84" si="7">IF(F66=1,"Fully compliant – all sub-indicators met",IF(F66=0,"Non-compliant – critical failure","Partially compliant – some sub-indicators met"))</f>
        <v>Non-compliant – critical failure</v>
      </c>
      <c r="H66" s="8">
        <f t="shared" ref="H66:H84" si="8">IF(UPPER(C66)="YES",0.2,0)</f>
        <v>0</v>
      </c>
      <c r="I66" s="8">
        <f t="shared" ref="I66:J84" si="9">IF(UPPER(D66)="YES",0.4,0)</f>
        <v>0</v>
      </c>
      <c r="J66" s="8">
        <f t="shared" si="9"/>
        <v>0</v>
      </c>
    </row>
    <row r="67" spans="1:10" ht="42.6" customHeight="1" x14ac:dyDescent="0.3">
      <c r="A67" s="4">
        <f t="shared" ref="A67:A84" si="10">A66+1</f>
        <v>66</v>
      </c>
      <c r="B67" s="39"/>
      <c r="F67" s="5">
        <f t="shared" si="6"/>
        <v>0</v>
      </c>
      <c r="G67" s="3" t="str">
        <f t="shared" si="7"/>
        <v>Non-compliant – critical failure</v>
      </c>
      <c r="H67" s="8">
        <f t="shared" si="8"/>
        <v>0</v>
      </c>
      <c r="I67" s="8">
        <f t="shared" si="9"/>
        <v>0</v>
      </c>
      <c r="J67" s="8">
        <f t="shared" si="9"/>
        <v>0</v>
      </c>
    </row>
    <row r="68" spans="1:10" ht="42.6" customHeight="1" x14ac:dyDescent="0.3">
      <c r="A68" s="4">
        <f t="shared" si="10"/>
        <v>67</v>
      </c>
      <c r="B68" s="39"/>
      <c r="F68" s="5">
        <f t="shared" si="6"/>
        <v>0</v>
      </c>
      <c r="G68" s="3" t="str">
        <f t="shared" si="7"/>
        <v>Non-compliant – critical failure</v>
      </c>
      <c r="H68" s="8">
        <f t="shared" si="8"/>
        <v>0</v>
      </c>
      <c r="I68" s="8">
        <f t="shared" si="9"/>
        <v>0</v>
      </c>
      <c r="J68" s="8">
        <f t="shared" si="9"/>
        <v>0</v>
      </c>
    </row>
    <row r="69" spans="1:10" ht="42.6" customHeight="1" x14ac:dyDescent="0.3">
      <c r="A69" s="4">
        <f t="shared" si="10"/>
        <v>68</v>
      </c>
      <c r="B69" s="39"/>
      <c r="F69" s="5">
        <f t="shared" si="6"/>
        <v>0</v>
      </c>
      <c r="G69" s="3" t="str">
        <f t="shared" si="7"/>
        <v>Non-compliant – critical failure</v>
      </c>
      <c r="H69" s="8">
        <f t="shared" si="8"/>
        <v>0</v>
      </c>
      <c r="I69" s="8">
        <f t="shared" si="9"/>
        <v>0</v>
      </c>
      <c r="J69" s="8">
        <f t="shared" si="9"/>
        <v>0</v>
      </c>
    </row>
    <row r="70" spans="1:10" ht="42.6" customHeight="1" x14ac:dyDescent="0.3">
      <c r="A70" s="4">
        <f t="shared" si="10"/>
        <v>69</v>
      </c>
      <c r="B70" s="39"/>
      <c r="F70" s="5">
        <f t="shared" si="6"/>
        <v>0</v>
      </c>
      <c r="G70" s="3" t="str">
        <f t="shared" si="7"/>
        <v>Non-compliant – critical failure</v>
      </c>
      <c r="H70" s="8">
        <f t="shared" si="8"/>
        <v>0</v>
      </c>
      <c r="I70" s="8">
        <f t="shared" si="9"/>
        <v>0</v>
      </c>
      <c r="J70" s="8">
        <f t="shared" si="9"/>
        <v>0</v>
      </c>
    </row>
    <row r="71" spans="1:10" ht="42.6" customHeight="1" x14ac:dyDescent="0.3">
      <c r="A71" s="4">
        <f t="shared" si="10"/>
        <v>70</v>
      </c>
      <c r="B71" s="39"/>
      <c r="F71" s="5">
        <f t="shared" si="6"/>
        <v>0</v>
      </c>
      <c r="G71" s="3" t="str">
        <f t="shared" si="7"/>
        <v>Non-compliant – critical failure</v>
      </c>
      <c r="H71" s="8">
        <f t="shared" si="8"/>
        <v>0</v>
      </c>
      <c r="I71" s="8">
        <f t="shared" si="9"/>
        <v>0</v>
      </c>
      <c r="J71" s="8">
        <f t="shared" si="9"/>
        <v>0</v>
      </c>
    </row>
    <row r="72" spans="1:10" ht="42.6" customHeight="1" x14ac:dyDescent="0.3">
      <c r="A72" s="4">
        <f t="shared" si="10"/>
        <v>71</v>
      </c>
      <c r="B72" s="39"/>
      <c r="F72" s="5">
        <f t="shared" si="6"/>
        <v>0</v>
      </c>
      <c r="G72" s="3" t="str">
        <f t="shared" si="7"/>
        <v>Non-compliant – critical failure</v>
      </c>
      <c r="H72" s="8">
        <f t="shared" si="8"/>
        <v>0</v>
      </c>
      <c r="I72" s="8">
        <f t="shared" si="9"/>
        <v>0</v>
      </c>
      <c r="J72" s="8">
        <f t="shared" si="9"/>
        <v>0</v>
      </c>
    </row>
    <row r="73" spans="1:10" ht="42.6" customHeight="1" x14ac:dyDescent="0.3">
      <c r="A73" s="4">
        <f t="shared" si="10"/>
        <v>72</v>
      </c>
      <c r="B73" s="39"/>
      <c r="F73" s="5">
        <f t="shared" si="6"/>
        <v>0</v>
      </c>
      <c r="G73" s="3" t="str">
        <f t="shared" si="7"/>
        <v>Non-compliant – critical failure</v>
      </c>
      <c r="H73" s="8">
        <f t="shared" si="8"/>
        <v>0</v>
      </c>
      <c r="I73" s="8">
        <f t="shared" si="9"/>
        <v>0</v>
      </c>
      <c r="J73" s="8">
        <f t="shared" si="9"/>
        <v>0</v>
      </c>
    </row>
    <row r="74" spans="1:10" ht="42.6" customHeight="1" x14ac:dyDescent="0.3">
      <c r="A74" s="4">
        <f t="shared" si="10"/>
        <v>73</v>
      </c>
      <c r="B74" s="39"/>
      <c r="F74" s="5">
        <f t="shared" si="6"/>
        <v>0</v>
      </c>
      <c r="G74" s="3" t="str">
        <f t="shared" si="7"/>
        <v>Non-compliant – critical failure</v>
      </c>
      <c r="H74" s="8">
        <f t="shared" si="8"/>
        <v>0</v>
      </c>
      <c r="I74" s="8">
        <f t="shared" si="9"/>
        <v>0</v>
      </c>
      <c r="J74" s="8">
        <f t="shared" si="9"/>
        <v>0</v>
      </c>
    </row>
    <row r="75" spans="1:10" ht="42.6" customHeight="1" x14ac:dyDescent="0.3">
      <c r="A75" s="4">
        <f t="shared" si="10"/>
        <v>74</v>
      </c>
      <c r="B75" s="39"/>
      <c r="F75" s="5">
        <f t="shared" si="6"/>
        <v>0</v>
      </c>
      <c r="G75" s="3" t="str">
        <f t="shared" si="7"/>
        <v>Non-compliant – critical failure</v>
      </c>
      <c r="H75" s="8">
        <f t="shared" si="8"/>
        <v>0</v>
      </c>
      <c r="I75" s="8">
        <f t="shared" si="9"/>
        <v>0</v>
      </c>
      <c r="J75" s="8">
        <f t="shared" si="9"/>
        <v>0</v>
      </c>
    </row>
    <row r="76" spans="1:10" ht="42.6" customHeight="1" x14ac:dyDescent="0.3">
      <c r="A76" s="4">
        <f t="shared" si="10"/>
        <v>75</v>
      </c>
      <c r="B76" s="39"/>
      <c r="F76" s="5">
        <f t="shared" si="6"/>
        <v>0</v>
      </c>
      <c r="G76" s="3" t="str">
        <f t="shared" si="7"/>
        <v>Non-compliant – critical failure</v>
      </c>
      <c r="H76" s="8">
        <f t="shared" si="8"/>
        <v>0</v>
      </c>
      <c r="I76" s="8">
        <f t="shared" si="9"/>
        <v>0</v>
      </c>
      <c r="J76" s="8">
        <f t="shared" si="9"/>
        <v>0</v>
      </c>
    </row>
    <row r="77" spans="1:10" ht="42.6" customHeight="1" x14ac:dyDescent="0.3">
      <c r="A77" s="4">
        <f t="shared" si="10"/>
        <v>76</v>
      </c>
      <c r="B77" s="39"/>
      <c r="F77" s="5">
        <f t="shared" si="6"/>
        <v>0</v>
      </c>
      <c r="G77" s="3" t="str">
        <f t="shared" si="7"/>
        <v>Non-compliant – critical failure</v>
      </c>
      <c r="H77" s="8">
        <f t="shared" si="8"/>
        <v>0</v>
      </c>
      <c r="I77" s="8">
        <f t="shared" si="9"/>
        <v>0</v>
      </c>
      <c r="J77" s="8">
        <f t="shared" si="9"/>
        <v>0</v>
      </c>
    </row>
    <row r="78" spans="1:10" ht="42.6" customHeight="1" x14ac:dyDescent="0.3">
      <c r="A78" s="4">
        <f t="shared" si="10"/>
        <v>77</v>
      </c>
      <c r="B78" s="39"/>
      <c r="F78" s="5">
        <f t="shared" si="6"/>
        <v>0</v>
      </c>
      <c r="G78" s="3" t="str">
        <f t="shared" si="7"/>
        <v>Non-compliant – critical failure</v>
      </c>
      <c r="H78" s="8">
        <f t="shared" si="8"/>
        <v>0</v>
      </c>
      <c r="I78" s="8">
        <f t="shared" si="9"/>
        <v>0</v>
      </c>
      <c r="J78" s="8">
        <f t="shared" si="9"/>
        <v>0</v>
      </c>
    </row>
    <row r="79" spans="1:10" ht="42.6" customHeight="1" x14ac:dyDescent="0.3">
      <c r="A79" s="4">
        <f t="shared" si="10"/>
        <v>78</v>
      </c>
      <c r="B79" s="39"/>
      <c r="F79" s="5">
        <f t="shared" si="6"/>
        <v>0</v>
      </c>
      <c r="G79" s="3" t="str">
        <f t="shared" si="7"/>
        <v>Non-compliant – critical failure</v>
      </c>
      <c r="H79" s="8">
        <f t="shared" si="8"/>
        <v>0</v>
      </c>
      <c r="I79" s="8">
        <f t="shared" si="9"/>
        <v>0</v>
      </c>
      <c r="J79" s="8">
        <f t="shared" si="9"/>
        <v>0</v>
      </c>
    </row>
    <row r="80" spans="1:10" ht="42.6" customHeight="1" x14ac:dyDescent="0.3">
      <c r="A80" s="4">
        <f t="shared" si="10"/>
        <v>79</v>
      </c>
      <c r="B80" s="39"/>
      <c r="F80" s="5">
        <f t="shared" si="6"/>
        <v>0</v>
      </c>
      <c r="G80" s="3" t="str">
        <f t="shared" si="7"/>
        <v>Non-compliant – critical failure</v>
      </c>
      <c r="H80" s="8">
        <f t="shared" si="8"/>
        <v>0</v>
      </c>
      <c r="I80" s="8">
        <f t="shared" si="9"/>
        <v>0</v>
      </c>
      <c r="J80" s="8">
        <f t="shared" si="9"/>
        <v>0</v>
      </c>
    </row>
    <row r="81" spans="1:10" ht="42.6" customHeight="1" x14ac:dyDescent="0.3">
      <c r="A81" s="4">
        <f t="shared" si="10"/>
        <v>80</v>
      </c>
      <c r="B81" s="39"/>
      <c r="F81" s="5">
        <f t="shared" si="6"/>
        <v>0</v>
      </c>
      <c r="G81" s="3" t="str">
        <f t="shared" si="7"/>
        <v>Non-compliant – critical failure</v>
      </c>
      <c r="H81" s="8">
        <f t="shared" si="8"/>
        <v>0</v>
      </c>
      <c r="I81" s="8">
        <f t="shared" si="9"/>
        <v>0</v>
      </c>
      <c r="J81" s="8">
        <f t="shared" si="9"/>
        <v>0</v>
      </c>
    </row>
    <row r="82" spans="1:10" ht="42.6" customHeight="1" x14ac:dyDescent="0.3">
      <c r="A82" s="4">
        <f t="shared" si="10"/>
        <v>81</v>
      </c>
      <c r="B82" s="39"/>
      <c r="F82" s="5">
        <f t="shared" si="6"/>
        <v>0</v>
      </c>
      <c r="G82" s="3" t="str">
        <f t="shared" si="7"/>
        <v>Non-compliant – critical failure</v>
      </c>
      <c r="H82" s="8">
        <f t="shared" si="8"/>
        <v>0</v>
      </c>
      <c r="I82" s="8">
        <f t="shared" si="9"/>
        <v>0</v>
      </c>
      <c r="J82" s="8">
        <f t="shared" si="9"/>
        <v>0</v>
      </c>
    </row>
    <row r="83" spans="1:10" ht="42.6" customHeight="1" x14ac:dyDescent="0.3">
      <c r="A83" s="4">
        <f t="shared" si="10"/>
        <v>82</v>
      </c>
      <c r="B83" s="39"/>
      <c r="F83" s="5">
        <f t="shared" si="6"/>
        <v>0</v>
      </c>
      <c r="G83" s="3" t="str">
        <f t="shared" si="7"/>
        <v>Non-compliant – critical failure</v>
      </c>
      <c r="H83" s="8">
        <f t="shared" si="8"/>
        <v>0</v>
      </c>
      <c r="I83" s="8">
        <f t="shared" si="9"/>
        <v>0</v>
      </c>
      <c r="J83" s="8">
        <f t="shared" si="9"/>
        <v>0</v>
      </c>
    </row>
    <row r="84" spans="1:10" ht="42.6" customHeight="1" x14ac:dyDescent="0.3">
      <c r="A84" s="4">
        <f t="shared" si="10"/>
        <v>83</v>
      </c>
      <c r="B84" s="39"/>
      <c r="F84" s="5">
        <f t="shared" si="6"/>
        <v>0</v>
      </c>
      <c r="G84" s="3" t="str">
        <f t="shared" si="7"/>
        <v>Non-compliant – critical failure</v>
      </c>
      <c r="H84" s="8">
        <f t="shared" si="8"/>
        <v>0</v>
      </c>
      <c r="I84" s="8">
        <f t="shared" si="9"/>
        <v>0</v>
      </c>
      <c r="J84" s="8">
        <f t="shared" si="9"/>
        <v>0</v>
      </c>
    </row>
  </sheetData>
  <mergeCells count="1">
    <mergeCell ref="O2:R2"/>
  </mergeCells>
  <dataValidations count="1">
    <dataValidation type="list" allowBlank="1" showInputMessage="1" showErrorMessage="1" sqref="C1:E1048576" xr:uid="{E93D971D-D6E8-41C9-821E-5F2C6EA64BF7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1"/>
  <sheetViews>
    <sheetView zoomScaleNormal="100" workbookViewId="0">
      <pane xSplit="2" topLeftCell="E1" activePane="topRight" state="frozen"/>
      <selection pane="topRight" activeCell="A52" sqref="A52"/>
    </sheetView>
  </sheetViews>
  <sheetFormatPr defaultColWidth="8.5546875" defaultRowHeight="40.200000000000003" customHeight="1" x14ac:dyDescent="0.3"/>
  <cols>
    <col min="1" max="2" width="20" style="47" customWidth="1"/>
    <col min="3" max="3" width="24.5546875" style="47" customWidth="1"/>
    <col min="4" max="4" width="40" style="47" customWidth="1"/>
    <col min="5" max="5" width="32.5546875" style="47" customWidth="1"/>
    <col min="6" max="6" width="22.5546875" style="47" customWidth="1"/>
    <col min="7" max="7" width="8.5546875" style="47" customWidth="1"/>
    <col min="8" max="8" width="7" style="47" customWidth="1"/>
    <col min="9" max="9" width="21.5546875" style="47" customWidth="1"/>
    <col min="10" max="10" width="10.77734375" style="47" customWidth="1"/>
    <col min="11" max="11" width="32.33203125" style="47" customWidth="1"/>
    <col min="12" max="12" width="8.5546875" style="47" customWidth="1"/>
    <col min="13" max="16384" width="8.5546875" style="47"/>
  </cols>
  <sheetData>
    <row r="1" spans="1:12" ht="40.200000000000003" customHeight="1" x14ac:dyDescent="0.3">
      <c r="A1" s="42" t="s">
        <v>0</v>
      </c>
      <c r="B1" s="42" t="s">
        <v>1</v>
      </c>
      <c r="C1" s="42" t="s">
        <v>179</v>
      </c>
      <c r="D1" s="42" t="s">
        <v>180</v>
      </c>
      <c r="E1" s="42" t="s">
        <v>126</v>
      </c>
      <c r="F1" s="42" t="s">
        <v>181</v>
      </c>
    </row>
    <row r="2" spans="1:12" ht="40.200000000000003" customHeight="1" x14ac:dyDescent="0.3">
      <c r="A2" s="38">
        <v>1</v>
      </c>
      <c r="B2" s="40" t="s">
        <v>48</v>
      </c>
      <c r="C2" s="38">
        <v>24</v>
      </c>
      <c r="D2" s="44">
        <f t="shared" ref="D2:D28" si="0">IF(C2="","No data",IF(C2&gt;=24,1,IF(C2&lt;3,0,0.5+(C2-3)*0.5/21)))</f>
        <v>1</v>
      </c>
      <c r="E2" s="38" t="str">
        <f t="shared" ref="E2:E38" si="1">IF(D2=1,"Full service continuity (1.00)",IF(D2=0,"Below minimum service level (0.00)"," "))</f>
        <v>Full service continuity (1.00)</v>
      </c>
      <c r="F2" s="38"/>
      <c r="J2" s="57" t="s">
        <v>143</v>
      </c>
      <c r="K2" s="74"/>
      <c r="L2" s="74"/>
    </row>
    <row r="3" spans="1:12" ht="40.200000000000003" customHeight="1" x14ac:dyDescent="0.3">
      <c r="A3" s="39">
        <f t="shared" ref="A3:A66" si="2">A2+1</f>
        <v>2</v>
      </c>
      <c r="B3" s="41" t="s">
        <v>54</v>
      </c>
      <c r="C3" s="39">
        <v>4</v>
      </c>
      <c r="D3" s="46">
        <f t="shared" si="0"/>
        <v>0.52380952380952384</v>
      </c>
      <c r="E3" s="38" t="str">
        <f t="shared" si="1"/>
        <v xml:space="preserve"> </v>
      </c>
      <c r="F3" s="39"/>
      <c r="J3" s="47" t="s">
        <v>182</v>
      </c>
      <c r="K3" s="47" t="s">
        <v>183</v>
      </c>
      <c r="L3" s="47" t="s">
        <v>126</v>
      </c>
    </row>
    <row r="4" spans="1:12" ht="40.200000000000003" customHeight="1" x14ac:dyDescent="0.3">
      <c r="A4" s="39">
        <f t="shared" si="2"/>
        <v>3</v>
      </c>
      <c r="B4" s="40" t="s">
        <v>57</v>
      </c>
      <c r="C4" s="38">
        <v>24</v>
      </c>
      <c r="D4" s="44">
        <f t="shared" si="0"/>
        <v>1</v>
      </c>
      <c r="E4" s="38" t="str">
        <f t="shared" si="1"/>
        <v>Full service continuity (1.00)</v>
      </c>
      <c r="F4" s="38"/>
      <c r="J4" s="47" t="s">
        <v>184</v>
      </c>
      <c r="K4" s="47">
        <v>1</v>
      </c>
      <c r="L4" s="47" t="s">
        <v>185</v>
      </c>
    </row>
    <row r="5" spans="1:12" ht="40.200000000000003" customHeight="1" x14ac:dyDescent="0.3">
      <c r="A5" s="39">
        <f t="shared" si="2"/>
        <v>4</v>
      </c>
      <c r="B5" s="41" t="s">
        <v>61</v>
      </c>
      <c r="C5" s="39">
        <v>8</v>
      </c>
      <c r="D5" s="46">
        <f t="shared" si="0"/>
        <v>0.61904761904761907</v>
      </c>
      <c r="E5" s="38" t="str">
        <f t="shared" si="1"/>
        <v xml:space="preserve"> </v>
      </c>
      <c r="F5" s="39" t="s">
        <v>290</v>
      </c>
      <c r="J5" s="47" t="s">
        <v>186</v>
      </c>
      <c r="K5" s="47" t="s">
        <v>187</v>
      </c>
      <c r="L5" s="47" t="s">
        <v>188</v>
      </c>
    </row>
    <row r="6" spans="1:12" ht="40.200000000000003" customHeight="1" x14ac:dyDescent="0.3">
      <c r="A6" s="39">
        <f t="shared" si="2"/>
        <v>5</v>
      </c>
      <c r="B6" s="40" t="s">
        <v>64</v>
      </c>
      <c r="C6" s="38">
        <v>12</v>
      </c>
      <c r="D6" s="44">
        <f t="shared" si="0"/>
        <v>0.7142857142857143</v>
      </c>
      <c r="E6" s="38" t="str">
        <f t="shared" si="1"/>
        <v xml:space="preserve"> </v>
      </c>
      <c r="F6" s="38"/>
      <c r="J6" s="47" t="s">
        <v>189</v>
      </c>
      <c r="K6" s="47">
        <v>0.5</v>
      </c>
      <c r="L6" s="47" t="s">
        <v>190</v>
      </c>
    </row>
    <row r="7" spans="1:12" ht="40.200000000000003" customHeight="1" x14ac:dyDescent="0.3">
      <c r="A7" s="39">
        <f t="shared" si="2"/>
        <v>6</v>
      </c>
      <c r="B7" s="47" t="s">
        <v>66</v>
      </c>
      <c r="C7" s="47">
        <v>4</v>
      </c>
      <c r="D7" s="44">
        <f t="shared" si="0"/>
        <v>0.52380952380952384</v>
      </c>
      <c r="E7" s="38" t="str">
        <f t="shared" si="1"/>
        <v xml:space="preserve"> </v>
      </c>
      <c r="J7" s="47" t="s">
        <v>191</v>
      </c>
      <c r="K7" s="47">
        <v>0</v>
      </c>
      <c r="L7" s="47" t="s">
        <v>192</v>
      </c>
    </row>
    <row r="8" spans="1:12" ht="40.200000000000003" customHeight="1" x14ac:dyDescent="0.3">
      <c r="A8" s="39">
        <f t="shared" si="2"/>
        <v>7</v>
      </c>
      <c r="B8" s="47" t="s">
        <v>69</v>
      </c>
      <c r="C8" s="47">
        <v>6</v>
      </c>
      <c r="D8" s="44">
        <f t="shared" si="0"/>
        <v>0.5714285714285714</v>
      </c>
      <c r="E8" s="38" t="str">
        <f t="shared" si="1"/>
        <v xml:space="preserve"> </v>
      </c>
    </row>
    <row r="9" spans="1:12" ht="40.200000000000003" customHeight="1" x14ac:dyDescent="0.3">
      <c r="A9" s="39">
        <f t="shared" si="2"/>
        <v>8</v>
      </c>
      <c r="B9" s="47" t="s">
        <v>73</v>
      </c>
      <c r="D9" s="44" t="str">
        <f>IF(C9=""," ",IF(C9&gt;=24,1,IF(C9&lt;3,0,0.5+(C9-3)*0.5/21)))</f>
        <v xml:space="preserve"> </v>
      </c>
      <c r="E9" s="38" t="str">
        <f t="shared" si="1"/>
        <v xml:space="preserve"> </v>
      </c>
    </row>
    <row r="10" spans="1:12" ht="40.200000000000003" customHeight="1" x14ac:dyDescent="0.3">
      <c r="A10" s="39">
        <f t="shared" si="2"/>
        <v>9</v>
      </c>
      <c r="B10" s="47" t="s">
        <v>75</v>
      </c>
      <c r="C10" s="47">
        <v>12</v>
      </c>
      <c r="D10" s="44">
        <f t="shared" si="0"/>
        <v>0.7142857142857143</v>
      </c>
      <c r="E10" s="38" t="str">
        <f t="shared" si="1"/>
        <v xml:space="preserve"> </v>
      </c>
    </row>
    <row r="11" spans="1:12" ht="40.200000000000003" customHeight="1" x14ac:dyDescent="0.3">
      <c r="A11" s="39">
        <f t="shared" si="2"/>
        <v>10</v>
      </c>
      <c r="B11" s="47" t="s">
        <v>78</v>
      </c>
      <c r="C11" s="47">
        <v>11</v>
      </c>
      <c r="D11" s="44">
        <f t="shared" si="0"/>
        <v>0.69047619047619047</v>
      </c>
      <c r="E11" s="38" t="str">
        <f t="shared" si="1"/>
        <v xml:space="preserve"> </v>
      </c>
    </row>
    <row r="12" spans="1:12" ht="40.200000000000003" customHeight="1" x14ac:dyDescent="0.3">
      <c r="A12" s="39">
        <f t="shared" si="2"/>
        <v>11</v>
      </c>
      <c r="B12" s="47" t="s">
        <v>80</v>
      </c>
      <c r="D12" s="44" t="str">
        <f>IF(C12=""," ",IF(C12&gt;=24,1,IF(C12&lt;3,0,0.5+(C12-3)*0.5/21)))</f>
        <v xml:space="preserve"> </v>
      </c>
      <c r="E12" s="38" t="str">
        <f t="shared" si="1"/>
        <v xml:space="preserve"> </v>
      </c>
    </row>
    <row r="13" spans="1:12" ht="40.200000000000003" customHeight="1" x14ac:dyDescent="0.3">
      <c r="A13" s="39">
        <f t="shared" si="2"/>
        <v>12</v>
      </c>
      <c r="B13" s="47" t="s">
        <v>82</v>
      </c>
      <c r="D13" s="44" t="str">
        <f t="shared" ref="D13:D14" si="3">IF(C13=""," ",IF(C13&gt;=24,1,IF(C13&lt;3,0,0.5+(C13-3)*0.5/21)))</f>
        <v xml:space="preserve"> </v>
      </c>
      <c r="E13" s="38" t="str">
        <f t="shared" si="1"/>
        <v xml:space="preserve"> </v>
      </c>
    </row>
    <row r="14" spans="1:12" ht="40.200000000000003" customHeight="1" x14ac:dyDescent="0.3">
      <c r="A14" s="39">
        <f t="shared" si="2"/>
        <v>13</v>
      </c>
      <c r="B14" s="47" t="s">
        <v>84</v>
      </c>
      <c r="D14" s="44" t="str">
        <f t="shared" si="3"/>
        <v xml:space="preserve"> </v>
      </c>
      <c r="E14" s="38" t="str">
        <f t="shared" si="1"/>
        <v xml:space="preserve"> </v>
      </c>
    </row>
    <row r="15" spans="1:12" ht="40.200000000000003" customHeight="1" x14ac:dyDescent="0.3">
      <c r="A15" s="39">
        <f t="shared" si="2"/>
        <v>14</v>
      </c>
      <c r="B15" s="47" t="s">
        <v>86</v>
      </c>
      <c r="C15" s="47">
        <v>24</v>
      </c>
      <c r="D15" s="44">
        <f t="shared" si="0"/>
        <v>1</v>
      </c>
      <c r="E15" s="38" t="str">
        <f t="shared" si="1"/>
        <v>Full service continuity (1.00)</v>
      </c>
    </row>
    <row r="16" spans="1:12" ht="40.200000000000003" customHeight="1" x14ac:dyDescent="0.3">
      <c r="A16" s="39">
        <f t="shared" si="2"/>
        <v>15</v>
      </c>
      <c r="B16" s="47" t="s">
        <v>88</v>
      </c>
      <c r="C16" s="47">
        <v>24</v>
      </c>
      <c r="D16" s="44">
        <f t="shared" si="0"/>
        <v>1</v>
      </c>
      <c r="E16" s="38" t="str">
        <f t="shared" si="1"/>
        <v>Full service continuity (1.00)</v>
      </c>
    </row>
    <row r="17" spans="1:5" ht="40.200000000000003" customHeight="1" x14ac:dyDescent="0.3">
      <c r="A17" s="39">
        <f t="shared" si="2"/>
        <v>16</v>
      </c>
      <c r="B17" s="47" t="s">
        <v>90</v>
      </c>
      <c r="C17" s="47">
        <v>24</v>
      </c>
      <c r="D17" s="44">
        <f t="shared" si="0"/>
        <v>1</v>
      </c>
      <c r="E17" s="38" t="str">
        <f t="shared" si="1"/>
        <v>Full service continuity (1.00)</v>
      </c>
    </row>
    <row r="18" spans="1:5" ht="40.200000000000003" customHeight="1" x14ac:dyDescent="0.3">
      <c r="A18" s="39">
        <f t="shared" si="2"/>
        <v>17</v>
      </c>
      <c r="B18" s="47" t="s">
        <v>91</v>
      </c>
      <c r="C18" s="47">
        <v>24</v>
      </c>
      <c r="D18" s="44">
        <f t="shared" si="0"/>
        <v>1</v>
      </c>
      <c r="E18" s="38" t="str">
        <f t="shared" si="1"/>
        <v>Full service continuity (1.00)</v>
      </c>
    </row>
    <row r="19" spans="1:5" ht="40.200000000000003" customHeight="1" x14ac:dyDescent="0.3">
      <c r="A19" s="39">
        <f t="shared" si="2"/>
        <v>18</v>
      </c>
      <c r="B19" s="47" t="s">
        <v>92</v>
      </c>
      <c r="C19" s="47">
        <v>24</v>
      </c>
      <c r="D19" s="44">
        <f t="shared" si="0"/>
        <v>1</v>
      </c>
      <c r="E19" s="38" t="str">
        <f t="shared" si="1"/>
        <v>Full service continuity (1.00)</v>
      </c>
    </row>
    <row r="20" spans="1:5" ht="40.200000000000003" customHeight="1" x14ac:dyDescent="0.3">
      <c r="A20" s="39">
        <f t="shared" si="2"/>
        <v>19</v>
      </c>
      <c r="B20" s="47" t="s">
        <v>93</v>
      </c>
      <c r="C20" s="47">
        <v>24</v>
      </c>
      <c r="D20" s="44">
        <f t="shared" si="0"/>
        <v>1</v>
      </c>
      <c r="E20" s="38" t="str">
        <f t="shared" si="1"/>
        <v>Full service continuity (1.00)</v>
      </c>
    </row>
    <row r="21" spans="1:5" ht="40.200000000000003" customHeight="1" x14ac:dyDescent="0.3">
      <c r="A21" s="39">
        <f t="shared" si="2"/>
        <v>20</v>
      </c>
      <c r="B21" s="47" t="s">
        <v>94</v>
      </c>
      <c r="C21" s="47">
        <v>15</v>
      </c>
      <c r="D21" s="44">
        <f t="shared" si="0"/>
        <v>0.7857142857142857</v>
      </c>
      <c r="E21" s="38" t="str">
        <f t="shared" si="1"/>
        <v xml:space="preserve"> </v>
      </c>
    </row>
    <row r="22" spans="1:5" ht="40.200000000000003" customHeight="1" x14ac:dyDescent="0.3">
      <c r="A22" s="39">
        <f t="shared" si="2"/>
        <v>21</v>
      </c>
      <c r="B22" s="47" t="s">
        <v>96</v>
      </c>
      <c r="C22" s="47">
        <v>24</v>
      </c>
      <c r="D22" s="44">
        <f t="shared" si="0"/>
        <v>1</v>
      </c>
      <c r="E22" s="38" t="str">
        <f t="shared" si="1"/>
        <v>Full service continuity (1.00)</v>
      </c>
    </row>
    <row r="23" spans="1:5" ht="40.200000000000003" customHeight="1" x14ac:dyDescent="0.3">
      <c r="A23" s="39">
        <f t="shared" si="2"/>
        <v>22</v>
      </c>
      <c r="B23" s="47" t="s">
        <v>97</v>
      </c>
      <c r="C23" s="47">
        <v>24</v>
      </c>
      <c r="D23" s="44">
        <f t="shared" si="0"/>
        <v>1</v>
      </c>
      <c r="E23" s="38" t="str">
        <f t="shared" si="1"/>
        <v>Full service continuity (1.00)</v>
      </c>
    </row>
    <row r="24" spans="1:5" ht="40.200000000000003" customHeight="1" x14ac:dyDescent="0.3">
      <c r="A24" s="39">
        <f t="shared" si="2"/>
        <v>23</v>
      </c>
      <c r="B24" s="47" t="s">
        <v>99</v>
      </c>
      <c r="C24" s="47">
        <v>24</v>
      </c>
      <c r="D24" s="44">
        <f t="shared" si="0"/>
        <v>1</v>
      </c>
      <c r="E24" s="38" t="str">
        <f t="shared" si="1"/>
        <v>Full service continuity (1.00)</v>
      </c>
    </row>
    <row r="25" spans="1:5" ht="40.200000000000003" customHeight="1" x14ac:dyDescent="0.3">
      <c r="A25" s="39">
        <f t="shared" si="2"/>
        <v>24</v>
      </c>
      <c r="B25" s="47" t="s">
        <v>100</v>
      </c>
      <c r="C25" s="47">
        <v>24</v>
      </c>
      <c r="D25" s="44">
        <f t="shared" si="0"/>
        <v>1</v>
      </c>
      <c r="E25" s="38" t="str">
        <f t="shared" si="1"/>
        <v>Full service continuity (1.00)</v>
      </c>
    </row>
    <row r="26" spans="1:5" ht="40.200000000000003" customHeight="1" x14ac:dyDescent="0.3">
      <c r="A26" s="39">
        <f t="shared" si="2"/>
        <v>25</v>
      </c>
      <c r="B26" s="47" t="s">
        <v>103</v>
      </c>
      <c r="C26" s="47">
        <v>24</v>
      </c>
      <c r="D26" s="44">
        <f t="shared" si="0"/>
        <v>1</v>
      </c>
      <c r="E26" s="38" t="str">
        <f t="shared" si="1"/>
        <v>Full service continuity (1.00)</v>
      </c>
    </row>
    <row r="27" spans="1:5" ht="40.200000000000003" customHeight="1" x14ac:dyDescent="0.3">
      <c r="A27" s="39">
        <f t="shared" si="2"/>
        <v>26</v>
      </c>
      <c r="B27" s="47" t="s">
        <v>105</v>
      </c>
      <c r="C27" s="47">
        <v>18</v>
      </c>
      <c r="D27" s="44">
        <f t="shared" si="0"/>
        <v>0.85714285714285721</v>
      </c>
      <c r="E27" s="38" t="str">
        <f t="shared" si="1"/>
        <v xml:space="preserve"> </v>
      </c>
    </row>
    <row r="28" spans="1:5" ht="40.200000000000003" customHeight="1" x14ac:dyDescent="0.3">
      <c r="A28" s="39">
        <f t="shared" si="2"/>
        <v>27</v>
      </c>
      <c r="B28" s="47" t="s">
        <v>107</v>
      </c>
      <c r="C28" s="47">
        <v>24</v>
      </c>
      <c r="D28" s="44">
        <f t="shared" si="0"/>
        <v>1</v>
      </c>
      <c r="E28" s="38" t="str">
        <f t="shared" si="1"/>
        <v>Full service continuity (1.00)</v>
      </c>
    </row>
    <row r="29" spans="1:5" ht="40.200000000000003" customHeight="1" x14ac:dyDescent="0.3">
      <c r="A29" s="39">
        <f t="shared" si="2"/>
        <v>28</v>
      </c>
      <c r="B29" s="47" t="s">
        <v>110</v>
      </c>
      <c r="D29" s="44" t="str">
        <f>IF(C29=""," ",IF(C29&gt;=24,1,IF(C29&lt;3,0,0.5+(C29-3)*0.5/21)))</f>
        <v xml:space="preserve"> </v>
      </c>
      <c r="E29" s="38" t="str">
        <f t="shared" si="1"/>
        <v xml:space="preserve"> </v>
      </c>
    </row>
    <row r="30" spans="1:5" ht="40.200000000000003" customHeight="1" x14ac:dyDescent="0.3">
      <c r="A30" s="39">
        <f t="shared" si="2"/>
        <v>29</v>
      </c>
      <c r="B30" s="47" t="s">
        <v>111</v>
      </c>
      <c r="D30" s="44" t="str">
        <f t="shared" ref="D30:D90" si="4">IF(C30=""," ",IF(C30&gt;=24,1,IF(C30&lt;3,0,0.5+(C30-3)*0.5/21)))</f>
        <v xml:space="preserve"> </v>
      </c>
      <c r="E30" s="38" t="str">
        <f t="shared" si="1"/>
        <v xml:space="preserve"> </v>
      </c>
    </row>
    <row r="31" spans="1:5" ht="40.200000000000003" customHeight="1" x14ac:dyDescent="0.3">
      <c r="A31" s="39">
        <f t="shared" si="2"/>
        <v>30</v>
      </c>
      <c r="B31" s="28" t="s">
        <v>84</v>
      </c>
      <c r="D31" s="44" t="str">
        <f t="shared" si="4"/>
        <v xml:space="preserve"> </v>
      </c>
      <c r="E31" s="38" t="str">
        <f t="shared" si="1"/>
        <v xml:space="preserve"> </v>
      </c>
    </row>
    <row r="32" spans="1:5" ht="40.200000000000003" customHeight="1" x14ac:dyDescent="0.3">
      <c r="A32" s="39">
        <f t="shared" si="2"/>
        <v>31</v>
      </c>
      <c r="B32" s="28" t="s">
        <v>113</v>
      </c>
      <c r="D32" s="44" t="str">
        <f t="shared" si="4"/>
        <v xml:space="preserve"> </v>
      </c>
      <c r="E32" s="38" t="str">
        <f t="shared" si="1"/>
        <v xml:space="preserve"> </v>
      </c>
    </row>
    <row r="33" spans="1:6" ht="40.200000000000003" customHeight="1" x14ac:dyDescent="0.3">
      <c r="A33" s="39">
        <f t="shared" si="2"/>
        <v>32</v>
      </c>
      <c r="B33" s="28" t="s">
        <v>115</v>
      </c>
      <c r="D33" s="44" t="str">
        <f t="shared" si="4"/>
        <v xml:space="preserve"> </v>
      </c>
      <c r="E33" s="38" t="str">
        <f t="shared" si="1"/>
        <v xml:space="preserve"> </v>
      </c>
    </row>
    <row r="34" spans="1:6" ht="40.200000000000003" customHeight="1" x14ac:dyDescent="0.3">
      <c r="A34" s="39">
        <f t="shared" si="2"/>
        <v>33</v>
      </c>
      <c r="B34" s="28" t="s">
        <v>116</v>
      </c>
      <c r="D34" s="44" t="str">
        <f t="shared" si="4"/>
        <v xml:space="preserve"> </v>
      </c>
      <c r="E34" s="38" t="str">
        <f t="shared" si="1"/>
        <v xml:space="preserve"> </v>
      </c>
    </row>
    <row r="35" spans="1:6" ht="40.200000000000003" customHeight="1" x14ac:dyDescent="0.3">
      <c r="A35" s="39">
        <f t="shared" si="2"/>
        <v>34</v>
      </c>
      <c r="B35" s="28" t="s">
        <v>117</v>
      </c>
      <c r="D35" s="44" t="str">
        <f t="shared" si="4"/>
        <v xml:space="preserve"> </v>
      </c>
      <c r="E35" s="38" t="str">
        <f t="shared" si="1"/>
        <v xml:space="preserve"> </v>
      </c>
    </row>
    <row r="36" spans="1:6" ht="40.200000000000003" customHeight="1" x14ac:dyDescent="0.3">
      <c r="A36" s="39">
        <f t="shared" si="2"/>
        <v>35</v>
      </c>
      <c r="B36" s="28" t="s">
        <v>283</v>
      </c>
      <c r="C36" s="47">
        <v>3</v>
      </c>
      <c r="D36" s="44">
        <f t="shared" si="4"/>
        <v>0.5</v>
      </c>
      <c r="E36" s="38" t="str">
        <f t="shared" si="1"/>
        <v xml:space="preserve"> </v>
      </c>
      <c r="F36" s="47" t="s">
        <v>290</v>
      </c>
    </row>
    <row r="37" spans="1:6" ht="40.200000000000003" customHeight="1" x14ac:dyDescent="0.3">
      <c r="A37" s="39">
        <f t="shared" si="2"/>
        <v>36</v>
      </c>
      <c r="B37" s="28" t="s">
        <v>291</v>
      </c>
      <c r="C37" s="47">
        <v>1.5</v>
      </c>
      <c r="D37" s="44">
        <f t="shared" si="4"/>
        <v>0</v>
      </c>
      <c r="E37" s="38" t="str">
        <f>IF(D37=1,"Full service continuity (1.00)",IF(D37=0,"Below minimum service level (0.00)"," "))</f>
        <v>Below minimum service level (0.00)</v>
      </c>
      <c r="F37" s="47" t="s">
        <v>290</v>
      </c>
    </row>
    <row r="38" spans="1:6" ht="40.200000000000003" customHeight="1" x14ac:dyDescent="0.3">
      <c r="A38" s="39">
        <f t="shared" si="2"/>
        <v>37</v>
      </c>
      <c r="B38" s="28" t="s">
        <v>296</v>
      </c>
      <c r="C38" s="47">
        <v>5</v>
      </c>
      <c r="D38" s="44">
        <f t="shared" si="4"/>
        <v>0.54761904761904767</v>
      </c>
      <c r="E38" s="38" t="str">
        <f t="shared" si="1"/>
        <v xml:space="preserve"> </v>
      </c>
      <c r="F38" s="47" t="s">
        <v>290</v>
      </c>
    </row>
    <row r="39" spans="1:6" ht="40.200000000000003" customHeight="1" x14ac:dyDescent="0.3">
      <c r="A39" s="39">
        <f t="shared" si="2"/>
        <v>38</v>
      </c>
      <c r="B39" s="28" t="s">
        <v>297</v>
      </c>
      <c r="C39" s="47">
        <v>8</v>
      </c>
      <c r="D39" s="44">
        <f t="shared" si="4"/>
        <v>0.61904761904761907</v>
      </c>
      <c r="E39" s="38" t="str">
        <f t="shared" ref="E39:E90" si="5">IF(D39=1,"Full service continuity (1.00)",IF(D39=0,"Below minimum service level (0.00)"," "))</f>
        <v xml:space="preserve"> </v>
      </c>
      <c r="F39" s="47" t="s">
        <v>290</v>
      </c>
    </row>
    <row r="40" spans="1:6" ht="40.200000000000003" customHeight="1" x14ac:dyDescent="0.3">
      <c r="A40" s="39">
        <f t="shared" si="2"/>
        <v>39</v>
      </c>
      <c r="B40" s="28" t="s">
        <v>300</v>
      </c>
      <c r="C40" s="47">
        <v>3</v>
      </c>
      <c r="D40" s="44">
        <f t="shared" si="4"/>
        <v>0.5</v>
      </c>
      <c r="E40" s="38" t="str">
        <f t="shared" si="5"/>
        <v xml:space="preserve"> </v>
      </c>
      <c r="F40" s="47" t="s">
        <v>290</v>
      </c>
    </row>
    <row r="41" spans="1:6" ht="40.200000000000003" customHeight="1" x14ac:dyDescent="0.3">
      <c r="A41" s="39">
        <f t="shared" si="2"/>
        <v>40</v>
      </c>
      <c r="B41" s="28" t="s">
        <v>306</v>
      </c>
      <c r="C41" s="47">
        <v>3</v>
      </c>
      <c r="D41" s="44">
        <f t="shared" si="4"/>
        <v>0.5</v>
      </c>
      <c r="E41" s="38" t="str">
        <f t="shared" si="5"/>
        <v xml:space="preserve"> </v>
      </c>
      <c r="F41" s="47" t="s">
        <v>290</v>
      </c>
    </row>
    <row r="42" spans="1:6" ht="40.200000000000003" customHeight="1" x14ac:dyDescent="0.3">
      <c r="A42" s="39">
        <f t="shared" si="2"/>
        <v>41</v>
      </c>
      <c r="B42" s="28" t="s">
        <v>308</v>
      </c>
      <c r="C42" s="47">
        <v>3</v>
      </c>
      <c r="D42" s="44">
        <f t="shared" si="4"/>
        <v>0.5</v>
      </c>
      <c r="E42" s="38" t="str">
        <f t="shared" si="5"/>
        <v xml:space="preserve"> </v>
      </c>
      <c r="F42" s="47" t="s">
        <v>290</v>
      </c>
    </row>
    <row r="43" spans="1:6" ht="40.200000000000003" customHeight="1" x14ac:dyDescent="0.3">
      <c r="A43" s="39">
        <f t="shared" si="2"/>
        <v>42</v>
      </c>
      <c r="B43" s="28" t="s">
        <v>311</v>
      </c>
      <c r="C43" s="47">
        <v>24</v>
      </c>
      <c r="D43" s="44">
        <f t="shared" si="4"/>
        <v>1</v>
      </c>
      <c r="E43" s="38" t="str">
        <f t="shared" si="5"/>
        <v>Full service continuity (1.00)</v>
      </c>
      <c r="F43" s="47" t="s">
        <v>314</v>
      </c>
    </row>
    <row r="44" spans="1:6" ht="40.200000000000003" customHeight="1" x14ac:dyDescent="0.3">
      <c r="A44" s="39">
        <f t="shared" si="2"/>
        <v>43</v>
      </c>
      <c r="B44" s="28" t="s">
        <v>315</v>
      </c>
      <c r="C44" s="47">
        <v>4</v>
      </c>
      <c r="D44" s="44">
        <f t="shared" si="4"/>
        <v>0.52380952380952384</v>
      </c>
      <c r="E44" s="38" t="str">
        <f t="shared" si="5"/>
        <v xml:space="preserve"> </v>
      </c>
      <c r="F44" s="47" t="s">
        <v>290</v>
      </c>
    </row>
    <row r="45" spans="1:6" ht="40.200000000000003" customHeight="1" x14ac:dyDescent="0.3">
      <c r="A45" s="39">
        <f t="shared" si="2"/>
        <v>44</v>
      </c>
      <c r="B45" s="28" t="s">
        <v>319</v>
      </c>
      <c r="C45" s="47">
        <v>3</v>
      </c>
      <c r="D45" s="44">
        <f t="shared" si="4"/>
        <v>0.5</v>
      </c>
      <c r="E45" s="38" t="str">
        <f t="shared" si="5"/>
        <v xml:space="preserve"> </v>
      </c>
      <c r="F45" s="47" t="s">
        <v>290</v>
      </c>
    </row>
    <row r="46" spans="1:6" ht="40.200000000000003" customHeight="1" x14ac:dyDescent="0.3">
      <c r="A46" s="39">
        <f t="shared" si="2"/>
        <v>45</v>
      </c>
      <c r="B46" s="28" t="s">
        <v>322</v>
      </c>
      <c r="C46" s="47">
        <v>4</v>
      </c>
      <c r="D46" s="44">
        <f t="shared" si="4"/>
        <v>0.52380952380952384</v>
      </c>
      <c r="E46" s="38" t="str">
        <f t="shared" si="5"/>
        <v xml:space="preserve"> </v>
      </c>
      <c r="F46" s="47" t="s">
        <v>290</v>
      </c>
    </row>
    <row r="47" spans="1:6" ht="40.200000000000003" customHeight="1" x14ac:dyDescent="0.3">
      <c r="A47" s="39">
        <f t="shared" si="2"/>
        <v>46</v>
      </c>
      <c r="B47" s="28" t="s">
        <v>326</v>
      </c>
      <c r="C47" s="47">
        <v>4</v>
      </c>
      <c r="D47" s="44">
        <f t="shared" si="4"/>
        <v>0.52380952380952384</v>
      </c>
      <c r="E47" s="38" t="str">
        <f t="shared" si="5"/>
        <v xml:space="preserve"> </v>
      </c>
      <c r="F47" s="47" t="s">
        <v>314</v>
      </c>
    </row>
    <row r="48" spans="1:6" ht="40.200000000000003" customHeight="1" x14ac:dyDescent="0.3">
      <c r="A48" s="39">
        <f t="shared" si="2"/>
        <v>47</v>
      </c>
      <c r="B48" s="28" t="s">
        <v>327</v>
      </c>
      <c r="C48" s="47">
        <v>24</v>
      </c>
      <c r="D48" s="44">
        <f t="shared" si="4"/>
        <v>1</v>
      </c>
      <c r="E48" s="38" t="str">
        <f t="shared" si="5"/>
        <v>Full service continuity (1.00)</v>
      </c>
      <c r="F48" s="47" t="s">
        <v>314</v>
      </c>
    </row>
    <row r="49" spans="1:6" ht="40.200000000000003" customHeight="1" x14ac:dyDescent="0.3">
      <c r="A49" s="39">
        <f t="shared" si="2"/>
        <v>48</v>
      </c>
      <c r="B49" s="28" t="s">
        <v>330</v>
      </c>
      <c r="C49" s="47">
        <v>14</v>
      </c>
      <c r="D49" s="44">
        <f t="shared" si="4"/>
        <v>0.76190476190476186</v>
      </c>
      <c r="E49" s="38" t="str">
        <f t="shared" si="5"/>
        <v xml:space="preserve"> </v>
      </c>
      <c r="F49" s="47" t="s">
        <v>290</v>
      </c>
    </row>
    <row r="50" spans="1:6" ht="40.200000000000003" customHeight="1" x14ac:dyDescent="0.3">
      <c r="A50" s="39">
        <f t="shared" si="2"/>
        <v>49</v>
      </c>
      <c r="B50" s="28" t="str">
        <f>Spatial!B50</f>
        <v>Waling_WSUC</v>
      </c>
      <c r="C50" s="47">
        <v>8</v>
      </c>
      <c r="D50" s="44">
        <f t="shared" si="4"/>
        <v>0.61904761904761907</v>
      </c>
      <c r="E50" s="38" t="str">
        <f t="shared" si="5"/>
        <v xml:space="preserve"> </v>
      </c>
      <c r="F50" s="47" t="s">
        <v>314</v>
      </c>
    </row>
    <row r="51" spans="1:6" ht="40.200000000000003" customHeight="1" x14ac:dyDescent="0.3">
      <c r="A51" s="39">
        <f t="shared" si="2"/>
        <v>50</v>
      </c>
      <c r="B51" s="28" t="str">
        <f>Spatial!B51</f>
        <v>Baglung_WSUC</v>
      </c>
      <c r="C51" s="47">
        <v>2</v>
      </c>
      <c r="D51" s="44">
        <f t="shared" si="4"/>
        <v>0</v>
      </c>
      <c r="E51" s="38" t="str">
        <f t="shared" si="5"/>
        <v>Below minimum service level (0.00)</v>
      </c>
      <c r="F51" s="47" t="s">
        <v>290</v>
      </c>
    </row>
    <row r="52" spans="1:6" ht="40.200000000000003" customHeight="1" x14ac:dyDescent="0.3">
      <c r="A52" s="39">
        <f t="shared" si="2"/>
        <v>51</v>
      </c>
      <c r="B52" s="28"/>
      <c r="D52" s="44" t="str">
        <f t="shared" si="4"/>
        <v xml:space="preserve"> </v>
      </c>
      <c r="E52" s="38" t="str">
        <f t="shared" si="5"/>
        <v xml:space="preserve"> </v>
      </c>
    </row>
    <row r="53" spans="1:6" ht="40.200000000000003" customHeight="1" x14ac:dyDescent="0.3">
      <c r="A53" s="39">
        <f t="shared" si="2"/>
        <v>52</v>
      </c>
      <c r="B53" s="28"/>
      <c r="D53" s="44" t="str">
        <f t="shared" si="4"/>
        <v xml:space="preserve"> </v>
      </c>
      <c r="E53" s="38" t="str">
        <f t="shared" si="5"/>
        <v xml:space="preserve"> </v>
      </c>
    </row>
    <row r="54" spans="1:6" ht="40.200000000000003" customHeight="1" x14ac:dyDescent="0.3">
      <c r="A54" s="39">
        <f t="shared" si="2"/>
        <v>53</v>
      </c>
      <c r="B54" s="28"/>
      <c r="D54" s="44" t="str">
        <f t="shared" si="4"/>
        <v xml:space="preserve"> </v>
      </c>
      <c r="E54" s="38" t="str">
        <f t="shared" si="5"/>
        <v xml:space="preserve"> </v>
      </c>
    </row>
    <row r="55" spans="1:6" ht="40.200000000000003" customHeight="1" x14ac:dyDescent="0.3">
      <c r="A55" s="39">
        <f t="shared" si="2"/>
        <v>54</v>
      </c>
      <c r="B55" s="28"/>
      <c r="D55" s="44" t="str">
        <f t="shared" si="4"/>
        <v xml:space="preserve"> </v>
      </c>
      <c r="E55" s="38" t="str">
        <f t="shared" si="5"/>
        <v xml:space="preserve"> </v>
      </c>
    </row>
    <row r="56" spans="1:6" ht="40.200000000000003" customHeight="1" x14ac:dyDescent="0.3">
      <c r="A56" s="39">
        <f t="shared" si="2"/>
        <v>55</v>
      </c>
      <c r="B56" s="28"/>
      <c r="D56" s="44" t="str">
        <f t="shared" si="4"/>
        <v xml:space="preserve"> </v>
      </c>
      <c r="E56" s="38" t="str">
        <f t="shared" si="5"/>
        <v xml:space="preserve"> </v>
      </c>
    </row>
    <row r="57" spans="1:6" ht="40.200000000000003" customHeight="1" x14ac:dyDescent="0.3">
      <c r="A57" s="39">
        <f t="shared" si="2"/>
        <v>56</v>
      </c>
      <c r="B57" s="28"/>
      <c r="D57" s="44" t="str">
        <f t="shared" si="4"/>
        <v xml:space="preserve"> </v>
      </c>
      <c r="E57" s="38" t="str">
        <f t="shared" si="5"/>
        <v xml:space="preserve"> </v>
      </c>
    </row>
    <row r="58" spans="1:6" ht="40.200000000000003" customHeight="1" x14ac:dyDescent="0.3">
      <c r="A58" s="39">
        <f t="shared" si="2"/>
        <v>57</v>
      </c>
      <c r="B58" s="28"/>
      <c r="D58" s="44" t="str">
        <f t="shared" si="4"/>
        <v xml:space="preserve"> </v>
      </c>
      <c r="E58" s="38" t="str">
        <f t="shared" si="5"/>
        <v xml:space="preserve"> </v>
      </c>
    </row>
    <row r="59" spans="1:6" ht="40.200000000000003" customHeight="1" x14ac:dyDescent="0.3">
      <c r="A59" s="39">
        <f t="shared" si="2"/>
        <v>58</v>
      </c>
      <c r="B59" s="28"/>
      <c r="D59" s="44" t="str">
        <f t="shared" si="4"/>
        <v xml:space="preserve"> </v>
      </c>
      <c r="E59" s="38" t="str">
        <f t="shared" si="5"/>
        <v xml:space="preserve"> </v>
      </c>
    </row>
    <row r="60" spans="1:6" ht="40.200000000000003" customHeight="1" x14ac:dyDescent="0.3">
      <c r="A60" s="39">
        <f t="shared" si="2"/>
        <v>59</v>
      </c>
      <c r="B60" s="28"/>
      <c r="D60" s="44" t="str">
        <f t="shared" si="4"/>
        <v xml:space="preserve"> </v>
      </c>
      <c r="E60" s="38" t="str">
        <f t="shared" si="5"/>
        <v xml:space="preserve"> </v>
      </c>
    </row>
    <row r="61" spans="1:6" ht="40.200000000000003" customHeight="1" x14ac:dyDescent="0.3">
      <c r="A61" s="39">
        <f t="shared" si="2"/>
        <v>60</v>
      </c>
      <c r="B61" s="28"/>
      <c r="D61" s="44" t="str">
        <f t="shared" si="4"/>
        <v xml:space="preserve"> </v>
      </c>
      <c r="E61" s="38" t="str">
        <f t="shared" si="5"/>
        <v xml:space="preserve"> </v>
      </c>
    </row>
    <row r="62" spans="1:6" ht="40.200000000000003" customHeight="1" x14ac:dyDescent="0.3">
      <c r="A62" s="39">
        <f t="shared" si="2"/>
        <v>61</v>
      </c>
      <c r="B62" s="28"/>
      <c r="D62" s="44" t="str">
        <f t="shared" si="4"/>
        <v xml:space="preserve"> </v>
      </c>
      <c r="E62" s="38" t="str">
        <f t="shared" si="5"/>
        <v xml:space="preserve"> </v>
      </c>
    </row>
    <row r="63" spans="1:6" ht="40.200000000000003" customHeight="1" x14ac:dyDescent="0.3">
      <c r="A63" s="39">
        <f t="shared" si="2"/>
        <v>62</v>
      </c>
      <c r="B63" s="28"/>
      <c r="D63" s="44" t="str">
        <f t="shared" si="4"/>
        <v xml:space="preserve"> </v>
      </c>
      <c r="E63" s="38" t="str">
        <f t="shared" si="5"/>
        <v xml:space="preserve"> </v>
      </c>
    </row>
    <row r="64" spans="1:6" ht="40.200000000000003" customHeight="1" x14ac:dyDescent="0.3">
      <c r="A64" s="39">
        <f t="shared" si="2"/>
        <v>63</v>
      </c>
      <c r="B64" s="28"/>
      <c r="D64" s="44" t="str">
        <f t="shared" si="4"/>
        <v xml:space="preserve"> </v>
      </c>
      <c r="E64" s="38" t="str">
        <f t="shared" si="5"/>
        <v xml:space="preserve"> </v>
      </c>
    </row>
    <row r="65" spans="1:5" ht="40.200000000000003" customHeight="1" x14ac:dyDescent="0.3">
      <c r="A65" s="39">
        <f t="shared" si="2"/>
        <v>64</v>
      </c>
      <c r="B65" s="28"/>
      <c r="D65" s="44" t="str">
        <f t="shared" si="4"/>
        <v xml:space="preserve"> </v>
      </c>
      <c r="E65" s="38" t="str">
        <f t="shared" si="5"/>
        <v xml:space="preserve"> </v>
      </c>
    </row>
    <row r="66" spans="1:5" ht="40.200000000000003" customHeight="1" x14ac:dyDescent="0.3">
      <c r="A66" s="39">
        <f t="shared" si="2"/>
        <v>65</v>
      </c>
      <c r="B66" s="28"/>
      <c r="D66" s="44" t="str">
        <f t="shared" si="4"/>
        <v xml:space="preserve"> </v>
      </c>
      <c r="E66" s="38" t="str">
        <f t="shared" si="5"/>
        <v xml:space="preserve"> </v>
      </c>
    </row>
    <row r="67" spans="1:5" ht="40.200000000000003" customHeight="1" x14ac:dyDescent="0.3">
      <c r="A67" s="39">
        <f t="shared" ref="A67:A79" si="6">A66+1</f>
        <v>66</v>
      </c>
      <c r="B67" s="28"/>
      <c r="D67" s="44" t="str">
        <f t="shared" si="4"/>
        <v xml:space="preserve"> </v>
      </c>
      <c r="E67" s="38" t="str">
        <f>IF(D67=1,"Full service continuity (1.00)",IF(D67=0,"Below minimum service level (0.00)"," "))</f>
        <v xml:space="preserve"> </v>
      </c>
    </row>
    <row r="68" spans="1:5" ht="40.200000000000003" customHeight="1" x14ac:dyDescent="0.3">
      <c r="A68" s="39">
        <f t="shared" si="6"/>
        <v>67</v>
      </c>
      <c r="B68" s="28"/>
      <c r="D68" s="44" t="str">
        <f t="shared" si="4"/>
        <v xml:space="preserve"> </v>
      </c>
      <c r="E68" s="38" t="str">
        <f t="shared" si="5"/>
        <v xml:space="preserve"> </v>
      </c>
    </row>
    <row r="69" spans="1:5" ht="40.200000000000003" customHeight="1" x14ac:dyDescent="0.3">
      <c r="A69" s="39">
        <f t="shared" si="6"/>
        <v>68</v>
      </c>
      <c r="B69" s="28"/>
      <c r="D69" s="44" t="str">
        <f t="shared" si="4"/>
        <v xml:space="preserve"> </v>
      </c>
      <c r="E69" s="38" t="str">
        <f t="shared" si="5"/>
        <v xml:space="preserve"> </v>
      </c>
    </row>
    <row r="70" spans="1:5" ht="40.200000000000003" customHeight="1" x14ac:dyDescent="0.3">
      <c r="A70" s="39">
        <f t="shared" si="6"/>
        <v>69</v>
      </c>
      <c r="B70" s="28"/>
      <c r="D70" s="44" t="str">
        <f t="shared" si="4"/>
        <v xml:space="preserve"> </v>
      </c>
      <c r="E70" s="38" t="str">
        <f t="shared" si="5"/>
        <v xml:space="preserve"> </v>
      </c>
    </row>
    <row r="71" spans="1:5" ht="40.200000000000003" customHeight="1" x14ac:dyDescent="0.3">
      <c r="A71" s="39">
        <f t="shared" si="6"/>
        <v>70</v>
      </c>
      <c r="B71" s="28"/>
      <c r="D71" s="44" t="str">
        <f t="shared" si="4"/>
        <v xml:space="preserve"> </v>
      </c>
      <c r="E71" s="38" t="str">
        <f t="shared" si="5"/>
        <v xml:space="preserve"> </v>
      </c>
    </row>
    <row r="72" spans="1:5" ht="40.200000000000003" customHeight="1" x14ac:dyDescent="0.3">
      <c r="A72" s="39">
        <f t="shared" si="6"/>
        <v>71</v>
      </c>
      <c r="B72" s="28"/>
      <c r="D72" s="44" t="str">
        <f t="shared" si="4"/>
        <v xml:space="preserve"> </v>
      </c>
      <c r="E72" s="38" t="str">
        <f t="shared" si="5"/>
        <v xml:space="preserve"> </v>
      </c>
    </row>
    <row r="73" spans="1:5" ht="40.200000000000003" customHeight="1" x14ac:dyDescent="0.3">
      <c r="A73" s="39">
        <f t="shared" si="6"/>
        <v>72</v>
      </c>
      <c r="B73" s="28"/>
      <c r="D73" s="44" t="str">
        <f t="shared" si="4"/>
        <v xml:space="preserve"> </v>
      </c>
      <c r="E73" s="38" t="str">
        <f t="shared" si="5"/>
        <v xml:space="preserve"> </v>
      </c>
    </row>
    <row r="74" spans="1:5" ht="40.200000000000003" customHeight="1" x14ac:dyDescent="0.3">
      <c r="A74" s="39">
        <f t="shared" si="6"/>
        <v>73</v>
      </c>
      <c r="B74" s="28"/>
      <c r="D74" s="44" t="str">
        <f t="shared" si="4"/>
        <v xml:space="preserve"> </v>
      </c>
      <c r="E74" s="38" t="str">
        <f t="shared" si="5"/>
        <v xml:space="preserve"> </v>
      </c>
    </row>
    <row r="75" spans="1:5" ht="40.200000000000003" customHeight="1" x14ac:dyDescent="0.3">
      <c r="A75" s="39">
        <f t="shared" si="6"/>
        <v>74</v>
      </c>
      <c r="B75" s="28"/>
      <c r="D75" s="44" t="str">
        <f t="shared" si="4"/>
        <v xml:space="preserve"> </v>
      </c>
      <c r="E75" s="38" t="str">
        <f t="shared" si="5"/>
        <v xml:space="preserve"> </v>
      </c>
    </row>
    <row r="76" spans="1:5" ht="40.200000000000003" customHeight="1" x14ac:dyDescent="0.3">
      <c r="A76" s="39">
        <f t="shared" si="6"/>
        <v>75</v>
      </c>
      <c r="B76" s="28"/>
      <c r="D76" s="44" t="str">
        <f t="shared" si="4"/>
        <v xml:space="preserve"> </v>
      </c>
      <c r="E76" s="38" t="str">
        <f t="shared" si="5"/>
        <v xml:space="preserve"> </v>
      </c>
    </row>
    <row r="77" spans="1:5" ht="40.200000000000003" customHeight="1" x14ac:dyDescent="0.3">
      <c r="A77" s="39">
        <f t="shared" si="6"/>
        <v>76</v>
      </c>
      <c r="B77" s="28"/>
      <c r="D77" s="44" t="str">
        <f t="shared" si="4"/>
        <v xml:space="preserve"> </v>
      </c>
      <c r="E77" s="38" t="str">
        <f t="shared" si="5"/>
        <v xml:space="preserve"> </v>
      </c>
    </row>
    <row r="78" spans="1:5" ht="40.200000000000003" customHeight="1" x14ac:dyDescent="0.3">
      <c r="A78" s="39">
        <f t="shared" si="6"/>
        <v>77</v>
      </c>
      <c r="B78" s="28"/>
      <c r="D78" s="44" t="str">
        <f t="shared" si="4"/>
        <v xml:space="preserve"> </v>
      </c>
      <c r="E78" s="38" t="str">
        <f t="shared" si="5"/>
        <v xml:space="preserve"> </v>
      </c>
    </row>
    <row r="79" spans="1:5" ht="40.200000000000003" customHeight="1" x14ac:dyDescent="0.3">
      <c r="A79" s="39">
        <f t="shared" si="6"/>
        <v>78</v>
      </c>
      <c r="B79" s="28"/>
      <c r="D79" s="44" t="str">
        <f t="shared" si="4"/>
        <v xml:space="preserve"> </v>
      </c>
      <c r="E79" s="38" t="str">
        <f t="shared" si="5"/>
        <v xml:space="preserve"> </v>
      </c>
    </row>
    <row r="80" spans="1:5" ht="40.200000000000003" customHeight="1" x14ac:dyDescent="0.3">
      <c r="B80" s="28"/>
      <c r="D80" s="44" t="str">
        <f t="shared" si="4"/>
        <v xml:space="preserve"> </v>
      </c>
      <c r="E80" s="38" t="str">
        <f t="shared" si="5"/>
        <v xml:space="preserve"> </v>
      </c>
    </row>
    <row r="81" spans="1:5" ht="40.200000000000003" customHeight="1" x14ac:dyDescent="0.3">
      <c r="B81" s="28"/>
      <c r="D81" s="44" t="str">
        <f t="shared" si="4"/>
        <v xml:space="preserve"> </v>
      </c>
      <c r="E81" s="38" t="str">
        <f t="shared" si="5"/>
        <v xml:space="preserve"> </v>
      </c>
    </row>
    <row r="82" spans="1:5" ht="40.200000000000003" customHeight="1" x14ac:dyDescent="0.3">
      <c r="B82" s="28"/>
      <c r="D82" s="44" t="str">
        <f t="shared" si="4"/>
        <v xml:space="preserve"> </v>
      </c>
      <c r="E82" s="38" t="str">
        <f t="shared" si="5"/>
        <v xml:space="preserve"> </v>
      </c>
    </row>
    <row r="83" spans="1:5" ht="40.200000000000003" customHeight="1" x14ac:dyDescent="0.3">
      <c r="B83" s="28"/>
      <c r="D83" s="44" t="str">
        <f t="shared" si="4"/>
        <v xml:space="preserve"> </v>
      </c>
      <c r="E83" s="38" t="str">
        <f t="shared" si="5"/>
        <v xml:space="preserve"> </v>
      </c>
    </row>
    <row r="84" spans="1:5" ht="40.200000000000003" customHeight="1" x14ac:dyDescent="0.3">
      <c r="B84" s="28"/>
      <c r="D84" s="44" t="str">
        <f t="shared" si="4"/>
        <v xml:space="preserve"> </v>
      </c>
      <c r="E84" s="38" t="str">
        <f t="shared" si="5"/>
        <v xml:space="preserve"> </v>
      </c>
    </row>
    <row r="85" spans="1:5" ht="40.200000000000003" customHeight="1" x14ac:dyDescent="0.3">
      <c r="B85" s="28"/>
      <c r="D85" s="44" t="str">
        <f t="shared" si="4"/>
        <v xml:space="preserve"> </v>
      </c>
      <c r="E85" s="38" t="str">
        <f t="shared" si="5"/>
        <v xml:space="preserve"> </v>
      </c>
    </row>
    <row r="86" spans="1:5" ht="40.200000000000003" customHeight="1" x14ac:dyDescent="0.3">
      <c r="B86" s="28"/>
      <c r="D86" s="44" t="str">
        <f t="shared" si="4"/>
        <v xml:space="preserve"> </v>
      </c>
      <c r="E86" s="38" t="str">
        <f t="shared" si="5"/>
        <v xml:space="preserve"> </v>
      </c>
    </row>
    <row r="87" spans="1:5" ht="40.200000000000003" customHeight="1" x14ac:dyDescent="0.3">
      <c r="B87" s="28"/>
      <c r="D87" s="44" t="str">
        <f t="shared" si="4"/>
        <v xml:space="preserve"> </v>
      </c>
      <c r="E87" s="38" t="str">
        <f t="shared" si="5"/>
        <v xml:space="preserve"> </v>
      </c>
    </row>
    <row r="88" spans="1:5" ht="40.200000000000003" customHeight="1" x14ac:dyDescent="0.3">
      <c r="B88" s="28"/>
      <c r="D88" s="44" t="str">
        <f t="shared" si="4"/>
        <v xml:space="preserve"> </v>
      </c>
      <c r="E88" s="38" t="str">
        <f t="shared" si="5"/>
        <v xml:space="preserve"> </v>
      </c>
    </row>
    <row r="89" spans="1:5" ht="40.200000000000003" customHeight="1" x14ac:dyDescent="0.3">
      <c r="B89" s="28"/>
      <c r="D89" s="44" t="str">
        <f t="shared" si="4"/>
        <v xml:space="preserve"> </v>
      </c>
      <c r="E89" s="38" t="str">
        <f t="shared" si="5"/>
        <v xml:space="preserve"> </v>
      </c>
    </row>
    <row r="90" spans="1:5" ht="40.200000000000003" customHeight="1" x14ac:dyDescent="0.3">
      <c r="B90" s="28"/>
      <c r="D90" s="44" t="str">
        <f t="shared" si="4"/>
        <v xml:space="preserve"> </v>
      </c>
      <c r="E90" s="38" t="str">
        <f t="shared" si="5"/>
        <v xml:space="preserve"> </v>
      </c>
    </row>
    <row r="91" spans="1:5" ht="40.200000000000003" customHeight="1" x14ac:dyDescent="0.3">
      <c r="A91" s="28"/>
      <c r="B91" s="28"/>
    </row>
  </sheetData>
  <mergeCells count="1">
    <mergeCell ref="J2:L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3"/>
  <sheetViews>
    <sheetView zoomScaleNormal="100" workbookViewId="0">
      <pane xSplit="2" topLeftCell="C1" activePane="topRight" state="frozen"/>
      <selection pane="topRight" activeCell="G53" sqref="G53"/>
    </sheetView>
  </sheetViews>
  <sheetFormatPr defaultColWidth="8.5546875" defaultRowHeight="40.799999999999997" customHeight="1" x14ac:dyDescent="0.3"/>
  <cols>
    <col min="1" max="1" width="12.77734375" style="47" customWidth="1"/>
    <col min="2" max="2" width="21.5546875" style="47" customWidth="1"/>
    <col min="3" max="8" width="20" style="47" customWidth="1"/>
    <col min="9" max="9" width="40" style="47" customWidth="1"/>
    <col min="10" max="13" width="8.5546875" style="47" customWidth="1"/>
    <col min="14" max="14" width="10.33203125" style="47" customWidth="1"/>
    <col min="15" max="15" width="15.6640625" style="47" customWidth="1"/>
    <col min="16" max="16" width="16.21875" style="47" customWidth="1"/>
    <col min="17" max="17" width="17.109375" style="47" customWidth="1"/>
    <col min="18" max="18" width="8.5546875" style="47" customWidth="1"/>
    <col min="19" max="16384" width="8.5546875" style="47"/>
  </cols>
  <sheetData>
    <row r="1" spans="1:17" ht="40.799999999999997" customHeight="1" x14ac:dyDescent="0.3">
      <c r="A1" s="42" t="s">
        <v>0</v>
      </c>
      <c r="B1" s="42" t="s">
        <v>1</v>
      </c>
      <c r="C1" s="42" t="s">
        <v>193</v>
      </c>
      <c r="D1" s="42" t="s">
        <v>194</v>
      </c>
      <c r="E1" s="42" t="s">
        <v>195</v>
      </c>
      <c r="F1" s="42" t="s">
        <v>196</v>
      </c>
      <c r="G1" s="42" t="s">
        <v>197</v>
      </c>
      <c r="H1" s="42" t="s">
        <v>198</v>
      </c>
      <c r="I1" s="42" t="s">
        <v>126</v>
      </c>
    </row>
    <row r="2" spans="1:17" ht="40.799999999999997" customHeight="1" x14ac:dyDescent="0.3">
      <c r="A2" s="38">
        <v>1</v>
      </c>
      <c r="B2" s="40" t="s">
        <v>48</v>
      </c>
      <c r="C2" s="38"/>
      <c r="D2" s="38"/>
      <c r="E2" s="38"/>
      <c r="F2" s="38"/>
      <c r="G2" s="38"/>
      <c r="H2" s="44">
        <f t="shared" ref="H2:H65" si="0">IF(UPPER(C2)&lt;&gt;"YES",0,IF(UPPER(D2)="YES",0.1,0)+IF(UPPER(E2)="YES",0.1,0)+IF(UPPER(F2)="YES",0.3,0)+IF(UPPER(G2)="YES",0.5,0))</f>
        <v>0</v>
      </c>
      <c r="I2" s="38" t="str">
        <f t="shared" ref="I2:I65" si="1">IF(UPPER(C2)&lt;&gt;"YES","Non-compliant – logbook gate failed",IF(H2=1,"Fully compliant – all tiers achieved",IF(H2=0,"Non-compliant","Partially compliant")))</f>
        <v>Non-compliant – logbook gate failed</v>
      </c>
    </row>
    <row r="3" spans="1:17" ht="40.799999999999997" customHeight="1" x14ac:dyDescent="0.3">
      <c r="A3" s="39">
        <f t="shared" ref="A3:A66" si="2">A2+1</f>
        <v>2</v>
      </c>
      <c r="B3" s="41" t="s">
        <v>54</v>
      </c>
      <c r="C3" s="38" t="s">
        <v>60</v>
      </c>
      <c r="D3" s="39" t="s">
        <v>53</v>
      </c>
      <c r="E3" s="39" t="s">
        <v>53</v>
      </c>
      <c r="F3" s="39" t="s">
        <v>60</v>
      </c>
      <c r="G3" s="39" t="s">
        <v>53</v>
      </c>
      <c r="H3" s="46">
        <f t="shared" si="0"/>
        <v>0</v>
      </c>
      <c r="I3" s="39" t="str">
        <f t="shared" si="1"/>
        <v>Non-compliant – logbook gate failed</v>
      </c>
    </row>
    <row r="4" spans="1:17" ht="40.799999999999997" customHeight="1" x14ac:dyDescent="0.3">
      <c r="A4" s="39">
        <f t="shared" si="2"/>
        <v>3</v>
      </c>
      <c r="B4" s="40" t="s">
        <v>57</v>
      </c>
      <c r="C4" s="38"/>
      <c r="D4" s="38"/>
      <c r="E4" s="38"/>
      <c r="F4" s="38"/>
      <c r="G4" s="38"/>
      <c r="H4" s="44">
        <f t="shared" si="0"/>
        <v>0</v>
      </c>
      <c r="I4" s="38" t="str">
        <f t="shared" si="1"/>
        <v>Non-compliant – logbook gate failed</v>
      </c>
    </row>
    <row r="5" spans="1:17" ht="40.799999999999997" customHeight="1" x14ac:dyDescent="0.3">
      <c r="A5" s="39">
        <f t="shared" si="2"/>
        <v>4</v>
      </c>
      <c r="B5" s="41" t="s">
        <v>61</v>
      </c>
      <c r="C5" s="38" t="s">
        <v>60</v>
      </c>
      <c r="D5" s="39" t="s">
        <v>53</v>
      </c>
      <c r="E5" s="39" t="s">
        <v>53</v>
      </c>
      <c r="F5" s="39" t="s">
        <v>53</v>
      </c>
      <c r="G5" s="39" t="s">
        <v>53</v>
      </c>
      <c r="H5" s="46">
        <f t="shared" si="0"/>
        <v>0</v>
      </c>
      <c r="I5" s="39" t="str">
        <f t="shared" si="1"/>
        <v>Non-compliant – logbook gate failed</v>
      </c>
    </row>
    <row r="6" spans="1:17" ht="40.799999999999997" customHeight="1" x14ac:dyDescent="0.3">
      <c r="A6" s="39">
        <f t="shared" si="2"/>
        <v>5</v>
      </c>
      <c r="B6" s="40" t="s">
        <v>64</v>
      </c>
      <c r="C6" s="38"/>
      <c r="D6" s="38"/>
      <c r="E6" s="38"/>
      <c r="F6" s="38"/>
      <c r="G6" s="38"/>
      <c r="H6" s="44">
        <f t="shared" si="0"/>
        <v>0</v>
      </c>
      <c r="I6" s="38" t="str">
        <f t="shared" si="1"/>
        <v>Non-compliant – logbook gate failed</v>
      </c>
      <c r="N6" s="64" t="s">
        <v>143</v>
      </c>
      <c r="O6" s="59"/>
      <c r="P6" s="59"/>
      <c r="Q6" s="59"/>
    </row>
    <row r="7" spans="1:17" ht="40.799999999999997" customHeight="1" x14ac:dyDescent="0.3">
      <c r="A7" s="39">
        <f t="shared" si="2"/>
        <v>6</v>
      </c>
      <c r="B7" s="47" t="s">
        <v>66</v>
      </c>
      <c r="C7" s="38"/>
      <c r="H7" s="44">
        <f t="shared" si="0"/>
        <v>0</v>
      </c>
      <c r="I7" s="38" t="str">
        <f t="shared" si="1"/>
        <v>Non-compliant – logbook gate failed</v>
      </c>
      <c r="N7" s="47" t="s">
        <v>199</v>
      </c>
      <c r="O7" s="47" t="s">
        <v>200</v>
      </c>
      <c r="P7" s="47" t="s">
        <v>201</v>
      </c>
      <c r="Q7" s="47" t="s">
        <v>202</v>
      </c>
    </row>
    <row r="8" spans="1:17" ht="40.799999999999997" customHeight="1" x14ac:dyDescent="0.3">
      <c r="A8" s="39">
        <f t="shared" si="2"/>
        <v>7</v>
      </c>
      <c r="B8" s="47" t="s">
        <v>69</v>
      </c>
      <c r="C8" s="38"/>
      <c r="H8" s="44">
        <f t="shared" si="0"/>
        <v>0</v>
      </c>
      <c r="I8" s="38" t="str">
        <f t="shared" si="1"/>
        <v>Non-compliant – logbook gate failed</v>
      </c>
      <c r="N8" s="47">
        <v>1</v>
      </c>
      <c r="O8" s="47" t="s">
        <v>203</v>
      </c>
      <c r="P8" s="47" t="s">
        <v>204</v>
      </c>
      <c r="Q8" s="47" t="s">
        <v>205</v>
      </c>
    </row>
    <row r="9" spans="1:17" ht="40.799999999999997" customHeight="1" x14ac:dyDescent="0.3">
      <c r="A9" s="39">
        <f t="shared" si="2"/>
        <v>8</v>
      </c>
      <c r="B9" s="47" t="s">
        <v>73</v>
      </c>
      <c r="C9" s="38"/>
      <c r="H9" s="44">
        <f t="shared" si="0"/>
        <v>0</v>
      </c>
      <c r="I9" s="38" t="str">
        <f t="shared" si="1"/>
        <v>Non-compliant – logbook gate failed</v>
      </c>
      <c r="N9" s="47">
        <v>2</v>
      </c>
      <c r="O9" s="47" t="s">
        <v>206</v>
      </c>
      <c r="P9" s="47">
        <v>0.1</v>
      </c>
      <c r="Q9" s="47" t="s">
        <v>207</v>
      </c>
    </row>
    <row r="10" spans="1:17" ht="40.799999999999997" customHeight="1" x14ac:dyDescent="0.3">
      <c r="A10" s="39">
        <f t="shared" si="2"/>
        <v>9</v>
      </c>
      <c r="B10" s="47" t="s">
        <v>75</v>
      </c>
      <c r="C10" s="38"/>
      <c r="H10" s="44">
        <f t="shared" si="0"/>
        <v>0</v>
      </c>
      <c r="I10" s="38" t="str">
        <f t="shared" si="1"/>
        <v>Non-compliant – logbook gate failed</v>
      </c>
      <c r="N10" s="47">
        <v>3</v>
      </c>
      <c r="O10" s="47" t="s">
        <v>208</v>
      </c>
      <c r="P10" s="47">
        <v>0.1</v>
      </c>
      <c r="Q10" s="47" t="s">
        <v>209</v>
      </c>
    </row>
    <row r="11" spans="1:17" ht="40.799999999999997" customHeight="1" x14ac:dyDescent="0.3">
      <c r="A11" s="39">
        <f t="shared" si="2"/>
        <v>10</v>
      </c>
      <c r="B11" s="47" t="s">
        <v>78</v>
      </c>
      <c r="C11" s="38"/>
      <c r="H11" s="44">
        <f t="shared" si="0"/>
        <v>0</v>
      </c>
      <c r="I11" s="38" t="str">
        <f t="shared" si="1"/>
        <v>Non-compliant – logbook gate failed</v>
      </c>
      <c r="N11" s="47">
        <v>4</v>
      </c>
      <c r="O11" s="47" t="s">
        <v>210</v>
      </c>
      <c r="P11" s="47">
        <v>0.3</v>
      </c>
      <c r="Q11" s="47" t="s">
        <v>211</v>
      </c>
    </row>
    <row r="12" spans="1:17" ht="40.799999999999997" customHeight="1" x14ac:dyDescent="0.3">
      <c r="A12" s="39">
        <f t="shared" si="2"/>
        <v>11</v>
      </c>
      <c r="B12" s="47" t="s">
        <v>80</v>
      </c>
      <c r="C12" s="38"/>
      <c r="H12" s="44">
        <f t="shared" si="0"/>
        <v>0</v>
      </c>
      <c r="I12" s="38" t="str">
        <f t="shared" si="1"/>
        <v>Non-compliant – logbook gate failed</v>
      </c>
      <c r="N12" s="47">
        <v>5</v>
      </c>
      <c r="O12" s="47" t="s">
        <v>212</v>
      </c>
      <c r="P12" s="47">
        <v>0.5</v>
      </c>
      <c r="Q12" s="47" t="s">
        <v>209</v>
      </c>
    </row>
    <row r="13" spans="1:17" ht="40.799999999999997" customHeight="1" x14ac:dyDescent="0.3">
      <c r="A13" s="39">
        <f t="shared" si="2"/>
        <v>12</v>
      </c>
      <c r="B13" s="47" t="s">
        <v>82</v>
      </c>
      <c r="C13" s="38"/>
      <c r="H13" s="44">
        <f t="shared" si="0"/>
        <v>0</v>
      </c>
      <c r="I13" s="38" t="str">
        <f t="shared" si="1"/>
        <v>Non-compliant – logbook gate failed</v>
      </c>
    </row>
    <row r="14" spans="1:17" ht="40.799999999999997" customHeight="1" x14ac:dyDescent="0.3">
      <c r="A14" s="39">
        <f t="shared" si="2"/>
        <v>13</v>
      </c>
      <c r="B14" s="47" t="s">
        <v>84</v>
      </c>
      <c r="C14" s="38"/>
      <c r="H14" s="44">
        <f t="shared" si="0"/>
        <v>0</v>
      </c>
      <c r="I14" s="38" t="str">
        <f t="shared" si="1"/>
        <v>Non-compliant – logbook gate failed</v>
      </c>
    </row>
    <row r="15" spans="1:17" ht="40.799999999999997" customHeight="1" x14ac:dyDescent="0.3">
      <c r="A15" s="39">
        <f t="shared" si="2"/>
        <v>14</v>
      </c>
      <c r="B15" s="47" t="s">
        <v>86</v>
      </c>
      <c r="C15" s="38"/>
      <c r="H15" s="44">
        <f t="shared" si="0"/>
        <v>0</v>
      </c>
      <c r="I15" s="38" t="str">
        <f t="shared" si="1"/>
        <v>Non-compliant – logbook gate failed</v>
      </c>
    </row>
    <row r="16" spans="1:17" ht="40.799999999999997" customHeight="1" x14ac:dyDescent="0.3">
      <c r="A16" s="39">
        <f t="shared" si="2"/>
        <v>15</v>
      </c>
      <c r="B16" s="47" t="s">
        <v>88</v>
      </c>
      <c r="C16" s="38"/>
      <c r="H16" s="44">
        <f t="shared" si="0"/>
        <v>0</v>
      </c>
      <c r="I16" s="38" t="str">
        <f t="shared" si="1"/>
        <v>Non-compliant – logbook gate failed</v>
      </c>
    </row>
    <row r="17" spans="1:9" ht="40.799999999999997" customHeight="1" x14ac:dyDescent="0.3">
      <c r="A17" s="39">
        <f t="shared" si="2"/>
        <v>16</v>
      </c>
      <c r="B17" s="47" t="s">
        <v>90</v>
      </c>
      <c r="C17" s="38"/>
      <c r="H17" s="44">
        <f t="shared" si="0"/>
        <v>0</v>
      </c>
      <c r="I17" s="38" t="str">
        <f t="shared" si="1"/>
        <v>Non-compliant – logbook gate failed</v>
      </c>
    </row>
    <row r="18" spans="1:9" ht="40.799999999999997" customHeight="1" x14ac:dyDescent="0.3">
      <c r="A18" s="39">
        <f t="shared" si="2"/>
        <v>17</v>
      </c>
      <c r="B18" s="47" t="s">
        <v>91</v>
      </c>
      <c r="C18" s="38"/>
      <c r="H18" s="44">
        <f t="shared" si="0"/>
        <v>0</v>
      </c>
      <c r="I18" s="38" t="str">
        <f t="shared" si="1"/>
        <v>Non-compliant – logbook gate failed</v>
      </c>
    </row>
    <row r="19" spans="1:9" ht="40.799999999999997" customHeight="1" x14ac:dyDescent="0.3">
      <c r="A19" s="39">
        <f t="shared" si="2"/>
        <v>18</v>
      </c>
      <c r="B19" s="47" t="s">
        <v>92</v>
      </c>
      <c r="C19" s="38"/>
      <c r="H19" s="44">
        <f t="shared" si="0"/>
        <v>0</v>
      </c>
      <c r="I19" s="38" t="str">
        <f t="shared" si="1"/>
        <v>Non-compliant – logbook gate failed</v>
      </c>
    </row>
    <row r="20" spans="1:9" ht="40.799999999999997" customHeight="1" x14ac:dyDescent="0.3">
      <c r="A20" s="39">
        <f t="shared" si="2"/>
        <v>19</v>
      </c>
      <c r="B20" s="47" t="s">
        <v>93</v>
      </c>
      <c r="C20" s="38"/>
      <c r="H20" s="44">
        <f t="shared" si="0"/>
        <v>0</v>
      </c>
      <c r="I20" s="38" t="str">
        <f t="shared" si="1"/>
        <v>Non-compliant – logbook gate failed</v>
      </c>
    </row>
    <row r="21" spans="1:9" ht="40.799999999999997" customHeight="1" x14ac:dyDescent="0.3">
      <c r="A21" s="39">
        <f t="shared" si="2"/>
        <v>20</v>
      </c>
      <c r="B21" s="47" t="s">
        <v>94</v>
      </c>
      <c r="C21" s="38"/>
      <c r="H21" s="44">
        <f t="shared" si="0"/>
        <v>0</v>
      </c>
      <c r="I21" s="38" t="str">
        <f t="shared" si="1"/>
        <v>Non-compliant – logbook gate failed</v>
      </c>
    </row>
    <row r="22" spans="1:9" ht="40.799999999999997" customHeight="1" x14ac:dyDescent="0.3">
      <c r="A22" s="39">
        <f t="shared" si="2"/>
        <v>21</v>
      </c>
      <c r="B22" s="47" t="s">
        <v>96</v>
      </c>
      <c r="C22" s="38"/>
      <c r="H22" s="44">
        <f t="shared" si="0"/>
        <v>0</v>
      </c>
      <c r="I22" s="38" t="str">
        <f t="shared" si="1"/>
        <v>Non-compliant – logbook gate failed</v>
      </c>
    </row>
    <row r="23" spans="1:9" ht="40.799999999999997" customHeight="1" x14ac:dyDescent="0.3">
      <c r="A23" s="39">
        <f t="shared" si="2"/>
        <v>22</v>
      </c>
      <c r="B23" s="47" t="s">
        <v>97</v>
      </c>
      <c r="C23" s="38"/>
      <c r="H23" s="44">
        <f t="shared" si="0"/>
        <v>0</v>
      </c>
      <c r="I23" s="38" t="str">
        <f t="shared" si="1"/>
        <v>Non-compliant – logbook gate failed</v>
      </c>
    </row>
    <row r="24" spans="1:9" ht="40.799999999999997" customHeight="1" x14ac:dyDescent="0.3">
      <c r="A24" s="39">
        <f t="shared" si="2"/>
        <v>23</v>
      </c>
      <c r="B24" s="47" t="s">
        <v>99</v>
      </c>
      <c r="C24" s="38"/>
      <c r="H24" s="44">
        <f t="shared" si="0"/>
        <v>0</v>
      </c>
      <c r="I24" s="38" t="str">
        <f t="shared" si="1"/>
        <v>Non-compliant – logbook gate failed</v>
      </c>
    </row>
    <row r="25" spans="1:9" ht="40.799999999999997" customHeight="1" x14ac:dyDescent="0.3">
      <c r="A25" s="39">
        <f t="shared" si="2"/>
        <v>24</v>
      </c>
      <c r="B25" s="47" t="s">
        <v>100</v>
      </c>
      <c r="C25" s="38"/>
      <c r="H25" s="44">
        <f t="shared" si="0"/>
        <v>0</v>
      </c>
      <c r="I25" s="38" t="str">
        <f t="shared" si="1"/>
        <v>Non-compliant – logbook gate failed</v>
      </c>
    </row>
    <row r="26" spans="1:9" ht="40.799999999999997" customHeight="1" x14ac:dyDescent="0.3">
      <c r="A26" s="39">
        <f t="shared" si="2"/>
        <v>25</v>
      </c>
      <c r="B26" s="47" t="s">
        <v>103</v>
      </c>
      <c r="C26" s="38"/>
      <c r="H26" s="44">
        <f t="shared" si="0"/>
        <v>0</v>
      </c>
      <c r="I26" s="38" t="str">
        <f t="shared" si="1"/>
        <v>Non-compliant – logbook gate failed</v>
      </c>
    </row>
    <row r="27" spans="1:9" ht="40.799999999999997" customHeight="1" x14ac:dyDescent="0.3">
      <c r="A27" s="39">
        <f t="shared" si="2"/>
        <v>26</v>
      </c>
      <c r="B27" s="47" t="s">
        <v>105</v>
      </c>
      <c r="C27" s="38"/>
      <c r="H27" s="44">
        <f t="shared" si="0"/>
        <v>0</v>
      </c>
      <c r="I27" s="38" t="str">
        <f t="shared" si="1"/>
        <v>Non-compliant – logbook gate failed</v>
      </c>
    </row>
    <row r="28" spans="1:9" ht="40.799999999999997" customHeight="1" x14ac:dyDescent="0.3">
      <c r="A28" s="39">
        <f t="shared" si="2"/>
        <v>27</v>
      </c>
      <c r="B28" s="47" t="s">
        <v>107</v>
      </c>
      <c r="C28" s="38"/>
      <c r="H28" s="44">
        <f t="shared" si="0"/>
        <v>0</v>
      </c>
      <c r="I28" s="38" t="str">
        <f t="shared" si="1"/>
        <v>Non-compliant – logbook gate failed</v>
      </c>
    </row>
    <row r="29" spans="1:9" ht="40.799999999999997" customHeight="1" x14ac:dyDescent="0.3">
      <c r="A29" s="39">
        <f t="shared" si="2"/>
        <v>28</v>
      </c>
      <c r="B29" s="47" t="s">
        <v>110</v>
      </c>
      <c r="C29" s="38"/>
      <c r="H29" s="44">
        <f t="shared" si="0"/>
        <v>0</v>
      </c>
      <c r="I29" s="38" t="str">
        <f t="shared" si="1"/>
        <v>Non-compliant – logbook gate failed</v>
      </c>
    </row>
    <row r="30" spans="1:9" ht="40.799999999999997" customHeight="1" x14ac:dyDescent="0.3">
      <c r="A30" s="39">
        <f t="shared" si="2"/>
        <v>29</v>
      </c>
      <c r="B30" s="47" t="s">
        <v>111</v>
      </c>
      <c r="C30" s="38"/>
      <c r="H30" s="44">
        <f t="shared" si="0"/>
        <v>0</v>
      </c>
      <c r="I30" s="38" t="str">
        <f t="shared" si="1"/>
        <v>Non-compliant – logbook gate failed</v>
      </c>
    </row>
    <row r="31" spans="1:9" ht="40.799999999999997" customHeight="1" x14ac:dyDescent="0.3">
      <c r="A31" s="39">
        <f t="shared" si="2"/>
        <v>30</v>
      </c>
      <c r="B31" s="28" t="s">
        <v>84</v>
      </c>
      <c r="C31" s="38"/>
      <c r="H31" s="44">
        <f t="shared" si="0"/>
        <v>0</v>
      </c>
      <c r="I31" s="38" t="str">
        <f t="shared" si="1"/>
        <v>Non-compliant – logbook gate failed</v>
      </c>
    </row>
    <row r="32" spans="1:9" ht="40.799999999999997" customHeight="1" x14ac:dyDescent="0.3">
      <c r="A32" s="39">
        <f t="shared" si="2"/>
        <v>31</v>
      </c>
      <c r="B32" s="28" t="s">
        <v>113</v>
      </c>
      <c r="C32" s="38"/>
      <c r="H32" s="44">
        <f t="shared" si="0"/>
        <v>0</v>
      </c>
      <c r="I32" s="38" t="str">
        <f t="shared" si="1"/>
        <v>Non-compliant – logbook gate failed</v>
      </c>
    </row>
    <row r="33" spans="1:9" ht="40.799999999999997" customHeight="1" x14ac:dyDescent="0.3">
      <c r="A33" s="39">
        <f t="shared" si="2"/>
        <v>32</v>
      </c>
      <c r="B33" s="28" t="s">
        <v>115</v>
      </c>
      <c r="C33" s="38"/>
      <c r="H33" s="44">
        <f t="shared" si="0"/>
        <v>0</v>
      </c>
      <c r="I33" s="38" t="str">
        <f t="shared" si="1"/>
        <v>Non-compliant – logbook gate failed</v>
      </c>
    </row>
    <row r="34" spans="1:9" ht="40.799999999999997" customHeight="1" x14ac:dyDescent="0.3">
      <c r="A34" s="39">
        <f t="shared" si="2"/>
        <v>33</v>
      </c>
      <c r="B34" s="28" t="s">
        <v>116</v>
      </c>
      <c r="C34" s="38"/>
      <c r="H34" s="44">
        <f t="shared" si="0"/>
        <v>0</v>
      </c>
      <c r="I34" s="38" t="str">
        <f t="shared" si="1"/>
        <v>Non-compliant – logbook gate failed</v>
      </c>
    </row>
    <row r="35" spans="1:9" ht="40.799999999999997" customHeight="1" x14ac:dyDescent="0.3">
      <c r="A35" s="39">
        <f t="shared" si="2"/>
        <v>34</v>
      </c>
      <c r="B35" s="28" t="s">
        <v>117</v>
      </c>
      <c r="C35" s="38"/>
      <c r="H35" s="44">
        <f t="shared" si="0"/>
        <v>0</v>
      </c>
      <c r="I35" s="38" t="str">
        <f t="shared" si="1"/>
        <v>Non-compliant – logbook gate failed</v>
      </c>
    </row>
    <row r="36" spans="1:9" ht="40.799999999999997" customHeight="1" x14ac:dyDescent="0.3">
      <c r="A36" s="39">
        <f t="shared" si="2"/>
        <v>35</v>
      </c>
      <c r="B36" s="47" t="s">
        <v>283</v>
      </c>
      <c r="C36" s="38" t="s">
        <v>53</v>
      </c>
      <c r="D36" s="47" t="s">
        <v>60</v>
      </c>
      <c r="E36" s="47" t="s">
        <v>60</v>
      </c>
      <c r="F36" s="47" t="s">
        <v>60</v>
      </c>
      <c r="G36" s="47" t="s">
        <v>60</v>
      </c>
      <c r="H36" s="44">
        <f t="shared" si="0"/>
        <v>0</v>
      </c>
      <c r="I36" s="38" t="str">
        <f t="shared" si="1"/>
        <v>Non-compliant</v>
      </c>
    </row>
    <row r="37" spans="1:9" ht="40.799999999999997" customHeight="1" x14ac:dyDescent="0.3">
      <c r="A37" s="39">
        <f t="shared" si="2"/>
        <v>36</v>
      </c>
      <c r="B37" s="47" t="s">
        <v>291</v>
      </c>
      <c r="C37" s="38" t="s">
        <v>60</v>
      </c>
      <c r="D37" s="47" t="s">
        <v>60</v>
      </c>
      <c r="E37" s="47" t="s">
        <v>60</v>
      </c>
      <c r="F37" s="47" t="s">
        <v>60</v>
      </c>
      <c r="G37" s="47" t="s">
        <v>60</v>
      </c>
      <c r="H37" s="44">
        <f t="shared" si="0"/>
        <v>0</v>
      </c>
      <c r="I37" s="38" t="str">
        <f t="shared" si="1"/>
        <v>Non-compliant – logbook gate failed</v>
      </c>
    </row>
    <row r="38" spans="1:9" ht="40.799999999999997" customHeight="1" x14ac:dyDescent="0.3">
      <c r="A38" s="39">
        <f t="shared" si="2"/>
        <v>37</v>
      </c>
      <c r="B38" s="47" t="s">
        <v>296</v>
      </c>
      <c r="C38" s="38" t="s">
        <v>60</v>
      </c>
      <c r="D38" s="47" t="s">
        <v>60</v>
      </c>
      <c r="E38" s="47" t="s">
        <v>60</v>
      </c>
      <c r="F38" s="47" t="s">
        <v>60</v>
      </c>
      <c r="G38" s="47" t="s">
        <v>60</v>
      </c>
      <c r="H38" s="44">
        <f t="shared" si="0"/>
        <v>0</v>
      </c>
      <c r="I38" s="38" t="str">
        <f t="shared" si="1"/>
        <v>Non-compliant – logbook gate failed</v>
      </c>
    </row>
    <row r="39" spans="1:9" ht="40.799999999999997" customHeight="1" x14ac:dyDescent="0.3">
      <c r="A39" s="39">
        <f t="shared" si="2"/>
        <v>38</v>
      </c>
      <c r="B39" s="47" t="s">
        <v>297</v>
      </c>
      <c r="C39" s="38" t="s">
        <v>60</v>
      </c>
      <c r="D39" s="47" t="s">
        <v>60</v>
      </c>
      <c r="E39" s="47" t="s">
        <v>60</v>
      </c>
      <c r="F39" s="47" t="s">
        <v>53</v>
      </c>
      <c r="G39" s="47" t="s">
        <v>53</v>
      </c>
      <c r="H39" s="44">
        <f t="shared" si="0"/>
        <v>0</v>
      </c>
      <c r="I39" s="38" t="str">
        <f t="shared" si="1"/>
        <v>Non-compliant – logbook gate failed</v>
      </c>
    </row>
    <row r="40" spans="1:9" ht="40.799999999999997" customHeight="1" x14ac:dyDescent="0.3">
      <c r="A40" s="39">
        <f t="shared" si="2"/>
        <v>39</v>
      </c>
      <c r="B40" s="47" t="s">
        <v>300</v>
      </c>
      <c r="C40" s="38" t="s">
        <v>53</v>
      </c>
      <c r="D40" s="47" t="s">
        <v>60</v>
      </c>
      <c r="E40" s="47" t="s">
        <v>60</v>
      </c>
      <c r="F40" s="47" t="s">
        <v>53</v>
      </c>
      <c r="G40" s="47" t="s">
        <v>60</v>
      </c>
      <c r="H40" s="44">
        <f t="shared" si="0"/>
        <v>0.3</v>
      </c>
      <c r="I40" s="38" t="str">
        <f t="shared" si="1"/>
        <v>Partially compliant</v>
      </c>
    </row>
    <row r="41" spans="1:9" ht="40.799999999999997" customHeight="1" x14ac:dyDescent="0.3">
      <c r="A41" s="39">
        <f t="shared" si="2"/>
        <v>40</v>
      </c>
      <c r="B41" s="47" t="s">
        <v>306</v>
      </c>
      <c r="C41" s="38" t="s">
        <v>60</v>
      </c>
      <c r="D41" s="47" t="s">
        <v>60</v>
      </c>
      <c r="E41" s="47" t="s">
        <v>60</v>
      </c>
      <c r="F41" s="47" t="s">
        <v>60</v>
      </c>
      <c r="G41" s="47" t="s">
        <v>60</v>
      </c>
      <c r="H41" s="44">
        <f t="shared" si="0"/>
        <v>0</v>
      </c>
      <c r="I41" s="38" t="str">
        <f t="shared" si="1"/>
        <v>Non-compliant – logbook gate failed</v>
      </c>
    </row>
    <row r="42" spans="1:9" ht="40.799999999999997" customHeight="1" x14ac:dyDescent="0.3">
      <c r="A42" s="39">
        <f t="shared" si="2"/>
        <v>41</v>
      </c>
      <c r="B42" s="47" t="s">
        <v>308</v>
      </c>
      <c r="C42" s="38" t="s">
        <v>53</v>
      </c>
      <c r="D42" s="47" t="s">
        <v>53</v>
      </c>
      <c r="E42" s="47" t="s">
        <v>60</v>
      </c>
      <c r="F42" s="47" t="s">
        <v>60</v>
      </c>
      <c r="G42" s="47" t="s">
        <v>60</v>
      </c>
      <c r="H42" s="44">
        <f t="shared" si="0"/>
        <v>0.1</v>
      </c>
      <c r="I42" s="38" t="str">
        <f t="shared" si="1"/>
        <v>Partially compliant</v>
      </c>
    </row>
    <row r="43" spans="1:9" ht="40.799999999999997" customHeight="1" x14ac:dyDescent="0.3">
      <c r="A43" s="39">
        <f t="shared" si="2"/>
        <v>42</v>
      </c>
      <c r="B43" s="47" t="s">
        <v>311</v>
      </c>
      <c r="C43" s="38" t="s">
        <v>53</v>
      </c>
      <c r="D43" s="47" t="s">
        <v>53</v>
      </c>
      <c r="E43" s="47" t="s">
        <v>53</v>
      </c>
      <c r="F43" s="47" t="s">
        <v>60</v>
      </c>
      <c r="G43" s="47" t="s">
        <v>60</v>
      </c>
      <c r="H43" s="44">
        <f t="shared" si="0"/>
        <v>0.2</v>
      </c>
      <c r="I43" s="38" t="str">
        <f t="shared" si="1"/>
        <v>Partially compliant</v>
      </c>
    </row>
    <row r="44" spans="1:9" ht="40.799999999999997" customHeight="1" x14ac:dyDescent="0.3">
      <c r="A44" s="39">
        <f t="shared" si="2"/>
        <v>43</v>
      </c>
      <c r="B44" s="47" t="s">
        <v>315</v>
      </c>
      <c r="C44" s="38" t="s">
        <v>60</v>
      </c>
      <c r="D44" s="47" t="s">
        <v>60</v>
      </c>
      <c r="E44" s="47" t="s">
        <v>53</v>
      </c>
      <c r="F44" s="47" t="s">
        <v>53</v>
      </c>
      <c r="G44" s="47" t="s">
        <v>53</v>
      </c>
      <c r="H44" s="44">
        <f t="shared" si="0"/>
        <v>0</v>
      </c>
      <c r="I44" s="38" t="str">
        <f t="shared" si="1"/>
        <v>Non-compliant – logbook gate failed</v>
      </c>
    </row>
    <row r="45" spans="1:9" ht="40.799999999999997" customHeight="1" x14ac:dyDescent="0.3">
      <c r="A45" s="39">
        <f t="shared" si="2"/>
        <v>44</v>
      </c>
      <c r="B45" s="47" t="s">
        <v>319</v>
      </c>
      <c r="C45" s="38" t="s">
        <v>53</v>
      </c>
      <c r="D45" s="47" t="s">
        <v>53</v>
      </c>
      <c r="E45" s="47" t="s">
        <v>60</v>
      </c>
      <c r="F45" s="47" t="s">
        <v>60</v>
      </c>
      <c r="G45" s="47" t="s">
        <v>60</v>
      </c>
      <c r="H45" s="44">
        <f t="shared" si="0"/>
        <v>0.1</v>
      </c>
      <c r="I45" s="38" t="str">
        <f t="shared" si="1"/>
        <v>Partially compliant</v>
      </c>
    </row>
    <row r="46" spans="1:9" ht="40.799999999999997" customHeight="1" x14ac:dyDescent="0.3">
      <c r="A46" s="39">
        <f t="shared" si="2"/>
        <v>45</v>
      </c>
      <c r="B46" s="47" t="s">
        <v>322</v>
      </c>
      <c r="C46" s="38" t="s">
        <v>53</v>
      </c>
      <c r="D46" s="47" t="s">
        <v>53</v>
      </c>
      <c r="E46" s="47" t="s">
        <v>53</v>
      </c>
      <c r="F46" s="47" t="s">
        <v>53</v>
      </c>
      <c r="G46" s="47" t="s">
        <v>53</v>
      </c>
      <c r="H46" s="44">
        <f t="shared" si="0"/>
        <v>1</v>
      </c>
      <c r="I46" s="38" t="str">
        <f t="shared" si="1"/>
        <v>Fully compliant – all tiers achieved</v>
      </c>
    </row>
    <row r="47" spans="1:9" ht="40.799999999999997" customHeight="1" x14ac:dyDescent="0.3">
      <c r="A47" s="39">
        <f t="shared" si="2"/>
        <v>46</v>
      </c>
      <c r="B47" s="47" t="s">
        <v>327</v>
      </c>
      <c r="C47" s="38" t="s">
        <v>60</v>
      </c>
      <c r="D47" s="47" t="s">
        <v>60</v>
      </c>
      <c r="E47" s="47" t="s">
        <v>53</v>
      </c>
      <c r="F47" s="47" t="s">
        <v>53</v>
      </c>
      <c r="G47" s="47" t="s">
        <v>60</v>
      </c>
      <c r="H47" s="44">
        <f t="shared" si="0"/>
        <v>0</v>
      </c>
      <c r="I47" s="38" t="str">
        <f t="shared" si="1"/>
        <v>Non-compliant – logbook gate failed</v>
      </c>
    </row>
    <row r="48" spans="1:9" ht="40.799999999999997" customHeight="1" x14ac:dyDescent="0.3">
      <c r="A48" s="39">
        <f t="shared" si="2"/>
        <v>47</v>
      </c>
      <c r="B48" s="47" t="s">
        <v>330</v>
      </c>
      <c r="C48" s="38" t="s">
        <v>53</v>
      </c>
      <c r="D48" s="47" t="s">
        <v>60</v>
      </c>
      <c r="E48" s="47" t="s">
        <v>60</v>
      </c>
      <c r="F48" s="47" t="s">
        <v>53</v>
      </c>
      <c r="G48" s="47" t="s">
        <v>53</v>
      </c>
      <c r="H48" s="44">
        <f t="shared" si="0"/>
        <v>0.8</v>
      </c>
      <c r="I48" s="38" t="str">
        <f t="shared" si="1"/>
        <v>Partially compliant</v>
      </c>
    </row>
    <row r="49" spans="1:9" ht="40.799999999999997" customHeight="1" x14ac:dyDescent="0.3">
      <c r="A49" s="39">
        <f t="shared" si="2"/>
        <v>48</v>
      </c>
      <c r="B49" s="47" t="str">
        <f>Spatial!B50</f>
        <v>Waling_WSUC</v>
      </c>
      <c r="C49" s="38" t="s">
        <v>60</v>
      </c>
      <c r="D49" s="47" t="s">
        <v>53</v>
      </c>
      <c r="E49" s="47" t="s">
        <v>53</v>
      </c>
      <c r="F49" s="47" t="s">
        <v>60</v>
      </c>
      <c r="G49" s="47" t="s">
        <v>60</v>
      </c>
      <c r="H49" s="44">
        <f t="shared" si="0"/>
        <v>0</v>
      </c>
      <c r="I49" s="38" t="str">
        <f t="shared" si="1"/>
        <v>Non-compliant – logbook gate failed</v>
      </c>
    </row>
    <row r="50" spans="1:9" ht="40.799999999999997" customHeight="1" x14ac:dyDescent="0.3">
      <c r="A50" s="39">
        <f t="shared" si="2"/>
        <v>49</v>
      </c>
      <c r="B50" s="47" t="str">
        <f>Spatial!B51</f>
        <v>Baglung_WSUC</v>
      </c>
      <c r="C50" s="38" t="s">
        <v>60</v>
      </c>
      <c r="D50" s="47" t="s">
        <v>60</v>
      </c>
      <c r="E50" s="47" t="s">
        <v>53</v>
      </c>
      <c r="F50" s="47" t="s">
        <v>60</v>
      </c>
      <c r="G50" s="47" t="s">
        <v>60</v>
      </c>
      <c r="H50" s="44">
        <f t="shared" si="0"/>
        <v>0</v>
      </c>
      <c r="I50" s="38" t="str">
        <f t="shared" si="1"/>
        <v>Non-compliant – logbook gate failed</v>
      </c>
    </row>
    <row r="51" spans="1:9" ht="40.799999999999997" customHeight="1" x14ac:dyDescent="0.3">
      <c r="A51" s="39">
        <f t="shared" si="2"/>
        <v>50</v>
      </c>
      <c r="C51" s="38"/>
      <c r="H51" s="44">
        <f t="shared" si="0"/>
        <v>0</v>
      </c>
      <c r="I51" s="38" t="str">
        <f t="shared" si="1"/>
        <v>Non-compliant – logbook gate failed</v>
      </c>
    </row>
    <row r="52" spans="1:9" ht="40.799999999999997" customHeight="1" x14ac:dyDescent="0.3">
      <c r="A52" s="39">
        <f t="shared" si="2"/>
        <v>51</v>
      </c>
      <c r="C52" s="38"/>
      <c r="H52" s="44">
        <f t="shared" si="0"/>
        <v>0</v>
      </c>
      <c r="I52" s="38" t="str">
        <f t="shared" si="1"/>
        <v>Non-compliant – logbook gate failed</v>
      </c>
    </row>
    <row r="53" spans="1:9" ht="40.799999999999997" customHeight="1" x14ac:dyDescent="0.3">
      <c r="A53" s="39">
        <f t="shared" si="2"/>
        <v>52</v>
      </c>
      <c r="C53" s="38"/>
      <c r="H53" s="44">
        <f t="shared" si="0"/>
        <v>0</v>
      </c>
      <c r="I53" s="38" t="str">
        <f t="shared" si="1"/>
        <v>Non-compliant – logbook gate failed</v>
      </c>
    </row>
    <row r="54" spans="1:9" ht="40.799999999999997" customHeight="1" x14ac:dyDescent="0.3">
      <c r="A54" s="39">
        <f t="shared" si="2"/>
        <v>53</v>
      </c>
      <c r="C54" s="38"/>
      <c r="H54" s="44">
        <f t="shared" si="0"/>
        <v>0</v>
      </c>
      <c r="I54" s="38" t="str">
        <f t="shared" si="1"/>
        <v>Non-compliant – logbook gate failed</v>
      </c>
    </row>
    <row r="55" spans="1:9" ht="40.799999999999997" customHeight="1" x14ac:dyDescent="0.3">
      <c r="A55" s="39">
        <f t="shared" si="2"/>
        <v>54</v>
      </c>
      <c r="C55" s="38"/>
      <c r="H55" s="44">
        <f t="shared" si="0"/>
        <v>0</v>
      </c>
      <c r="I55" s="38" t="str">
        <f t="shared" si="1"/>
        <v>Non-compliant – logbook gate failed</v>
      </c>
    </row>
    <row r="56" spans="1:9" ht="40.799999999999997" customHeight="1" x14ac:dyDescent="0.3">
      <c r="A56" s="39">
        <f t="shared" si="2"/>
        <v>55</v>
      </c>
      <c r="H56" s="44">
        <f t="shared" si="0"/>
        <v>0</v>
      </c>
      <c r="I56" s="38" t="str">
        <f t="shared" si="1"/>
        <v>Non-compliant – logbook gate failed</v>
      </c>
    </row>
    <row r="57" spans="1:9" ht="40.799999999999997" customHeight="1" x14ac:dyDescent="0.3">
      <c r="A57" s="39">
        <f t="shared" si="2"/>
        <v>56</v>
      </c>
      <c r="H57" s="44">
        <f t="shared" si="0"/>
        <v>0</v>
      </c>
      <c r="I57" s="38" t="str">
        <f t="shared" si="1"/>
        <v>Non-compliant – logbook gate failed</v>
      </c>
    </row>
    <row r="58" spans="1:9" ht="40.799999999999997" customHeight="1" x14ac:dyDescent="0.3">
      <c r="A58" s="39">
        <f t="shared" si="2"/>
        <v>57</v>
      </c>
      <c r="H58" s="44">
        <f t="shared" si="0"/>
        <v>0</v>
      </c>
      <c r="I58" s="38" t="str">
        <f t="shared" si="1"/>
        <v>Non-compliant – logbook gate failed</v>
      </c>
    </row>
    <row r="59" spans="1:9" ht="40.799999999999997" customHeight="1" x14ac:dyDescent="0.3">
      <c r="A59" s="39">
        <f t="shared" si="2"/>
        <v>58</v>
      </c>
      <c r="H59" s="44">
        <f t="shared" si="0"/>
        <v>0</v>
      </c>
      <c r="I59" s="38" t="str">
        <f t="shared" si="1"/>
        <v>Non-compliant – logbook gate failed</v>
      </c>
    </row>
    <row r="60" spans="1:9" ht="40.799999999999997" customHeight="1" x14ac:dyDescent="0.3">
      <c r="A60" s="39">
        <f t="shared" si="2"/>
        <v>59</v>
      </c>
      <c r="H60" s="44">
        <f t="shared" si="0"/>
        <v>0</v>
      </c>
      <c r="I60" s="38" t="str">
        <f t="shared" si="1"/>
        <v>Non-compliant – logbook gate failed</v>
      </c>
    </row>
    <row r="61" spans="1:9" ht="40.799999999999997" customHeight="1" x14ac:dyDescent="0.3">
      <c r="A61" s="39">
        <f t="shared" si="2"/>
        <v>60</v>
      </c>
      <c r="H61" s="44">
        <f t="shared" si="0"/>
        <v>0</v>
      </c>
      <c r="I61" s="38" t="str">
        <f t="shared" si="1"/>
        <v>Non-compliant – logbook gate failed</v>
      </c>
    </row>
    <row r="62" spans="1:9" ht="40.799999999999997" customHeight="1" x14ac:dyDescent="0.3">
      <c r="A62" s="39">
        <f t="shared" si="2"/>
        <v>61</v>
      </c>
      <c r="H62" s="44">
        <f t="shared" si="0"/>
        <v>0</v>
      </c>
      <c r="I62" s="38" t="str">
        <f t="shared" si="1"/>
        <v>Non-compliant – logbook gate failed</v>
      </c>
    </row>
    <row r="63" spans="1:9" ht="40.799999999999997" customHeight="1" x14ac:dyDescent="0.3">
      <c r="A63" s="39">
        <f t="shared" si="2"/>
        <v>62</v>
      </c>
      <c r="H63" s="44">
        <f t="shared" si="0"/>
        <v>0</v>
      </c>
      <c r="I63" s="38" t="str">
        <f t="shared" si="1"/>
        <v>Non-compliant – logbook gate failed</v>
      </c>
    </row>
    <row r="64" spans="1:9" ht="40.799999999999997" customHeight="1" x14ac:dyDescent="0.3">
      <c r="A64" s="39">
        <f t="shared" si="2"/>
        <v>63</v>
      </c>
      <c r="H64" s="44">
        <f t="shared" si="0"/>
        <v>0</v>
      </c>
      <c r="I64" s="38" t="str">
        <f t="shared" si="1"/>
        <v>Non-compliant – logbook gate failed</v>
      </c>
    </row>
    <row r="65" spans="1:9" ht="40.799999999999997" customHeight="1" x14ac:dyDescent="0.3">
      <c r="A65" s="39">
        <f t="shared" si="2"/>
        <v>64</v>
      </c>
      <c r="H65" s="44">
        <f t="shared" si="0"/>
        <v>0</v>
      </c>
      <c r="I65" s="38" t="str">
        <f t="shared" si="1"/>
        <v>Non-compliant – logbook gate failed</v>
      </c>
    </row>
    <row r="66" spans="1:9" ht="40.799999999999997" customHeight="1" x14ac:dyDescent="0.3">
      <c r="A66" s="39">
        <f t="shared" si="2"/>
        <v>65</v>
      </c>
      <c r="H66" s="44">
        <f t="shared" ref="H66:H93" si="3">IF(UPPER(C66)&lt;&gt;"YES",0,IF(UPPER(D66)="YES",0.1,0)+IF(UPPER(E66)="YES",0.1,0)+IF(UPPER(F66)="YES",0.3,0)+IF(UPPER(G66)="YES",0.5,0))</f>
        <v>0</v>
      </c>
      <c r="I66" s="38" t="str">
        <f t="shared" ref="I66:I93" si="4">IF(UPPER(C66)&lt;&gt;"YES","Non-compliant – logbook gate failed",IF(H66=1,"Fully compliant – all tiers achieved",IF(H66=0,"Non-compliant","Partially compliant")))</f>
        <v>Non-compliant – logbook gate failed</v>
      </c>
    </row>
    <row r="67" spans="1:9" ht="40.799999999999997" customHeight="1" x14ac:dyDescent="0.3">
      <c r="A67" s="39">
        <f t="shared" ref="A67:A93" si="5">A66+1</f>
        <v>66</v>
      </c>
      <c r="H67" s="44">
        <f t="shared" si="3"/>
        <v>0</v>
      </c>
      <c r="I67" s="38" t="str">
        <f t="shared" si="4"/>
        <v>Non-compliant – logbook gate failed</v>
      </c>
    </row>
    <row r="68" spans="1:9" ht="40.799999999999997" customHeight="1" x14ac:dyDescent="0.3">
      <c r="A68" s="39">
        <f t="shared" si="5"/>
        <v>67</v>
      </c>
      <c r="H68" s="44">
        <f t="shared" si="3"/>
        <v>0</v>
      </c>
      <c r="I68" s="38" t="str">
        <f t="shared" si="4"/>
        <v>Non-compliant – logbook gate failed</v>
      </c>
    </row>
    <row r="69" spans="1:9" ht="40.799999999999997" customHeight="1" x14ac:dyDescent="0.3">
      <c r="A69" s="39">
        <f t="shared" si="5"/>
        <v>68</v>
      </c>
      <c r="H69" s="44">
        <f t="shared" si="3"/>
        <v>0</v>
      </c>
      <c r="I69" s="38" t="str">
        <f t="shared" si="4"/>
        <v>Non-compliant – logbook gate failed</v>
      </c>
    </row>
    <row r="70" spans="1:9" ht="40.799999999999997" customHeight="1" x14ac:dyDescent="0.3">
      <c r="A70" s="39">
        <f t="shared" si="5"/>
        <v>69</v>
      </c>
      <c r="H70" s="44">
        <f t="shared" si="3"/>
        <v>0</v>
      </c>
      <c r="I70" s="38" t="str">
        <f t="shared" si="4"/>
        <v>Non-compliant – logbook gate failed</v>
      </c>
    </row>
    <row r="71" spans="1:9" ht="40.799999999999997" customHeight="1" x14ac:dyDescent="0.3">
      <c r="A71" s="39">
        <f t="shared" si="5"/>
        <v>70</v>
      </c>
      <c r="H71" s="44">
        <f t="shared" si="3"/>
        <v>0</v>
      </c>
      <c r="I71" s="38" t="str">
        <f t="shared" si="4"/>
        <v>Non-compliant – logbook gate failed</v>
      </c>
    </row>
    <row r="72" spans="1:9" ht="40.799999999999997" customHeight="1" x14ac:dyDescent="0.3">
      <c r="A72" s="39">
        <f t="shared" si="5"/>
        <v>71</v>
      </c>
      <c r="H72" s="44">
        <f t="shared" si="3"/>
        <v>0</v>
      </c>
      <c r="I72" s="38" t="str">
        <f t="shared" si="4"/>
        <v>Non-compliant – logbook gate failed</v>
      </c>
    </row>
    <row r="73" spans="1:9" ht="40.799999999999997" customHeight="1" x14ac:dyDescent="0.3">
      <c r="A73" s="39">
        <f t="shared" si="5"/>
        <v>72</v>
      </c>
      <c r="H73" s="44">
        <f t="shared" si="3"/>
        <v>0</v>
      </c>
      <c r="I73" s="38" t="str">
        <f t="shared" si="4"/>
        <v>Non-compliant – logbook gate failed</v>
      </c>
    </row>
    <row r="74" spans="1:9" ht="40.799999999999997" customHeight="1" x14ac:dyDescent="0.3">
      <c r="A74" s="39">
        <f t="shared" si="5"/>
        <v>73</v>
      </c>
      <c r="H74" s="44">
        <f t="shared" si="3"/>
        <v>0</v>
      </c>
      <c r="I74" s="38" t="str">
        <f t="shared" si="4"/>
        <v>Non-compliant – logbook gate failed</v>
      </c>
    </row>
    <row r="75" spans="1:9" ht="40.799999999999997" customHeight="1" x14ac:dyDescent="0.3">
      <c r="A75" s="39">
        <f t="shared" si="5"/>
        <v>74</v>
      </c>
      <c r="H75" s="44">
        <f t="shared" si="3"/>
        <v>0</v>
      </c>
      <c r="I75" s="38" t="str">
        <f t="shared" si="4"/>
        <v>Non-compliant – logbook gate failed</v>
      </c>
    </row>
    <row r="76" spans="1:9" ht="40.799999999999997" customHeight="1" x14ac:dyDescent="0.3">
      <c r="A76" s="39">
        <f t="shared" si="5"/>
        <v>75</v>
      </c>
      <c r="H76" s="44">
        <f t="shared" si="3"/>
        <v>0</v>
      </c>
      <c r="I76" s="38" t="str">
        <f t="shared" si="4"/>
        <v>Non-compliant – logbook gate failed</v>
      </c>
    </row>
    <row r="77" spans="1:9" ht="40.799999999999997" customHeight="1" x14ac:dyDescent="0.3">
      <c r="A77" s="39">
        <f t="shared" si="5"/>
        <v>76</v>
      </c>
      <c r="H77" s="44">
        <f t="shared" si="3"/>
        <v>0</v>
      </c>
      <c r="I77" s="38" t="str">
        <f t="shared" si="4"/>
        <v>Non-compliant – logbook gate failed</v>
      </c>
    </row>
    <row r="78" spans="1:9" ht="40.799999999999997" customHeight="1" x14ac:dyDescent="0.3">
      <c r="A78" s="39">
        <f t="shared" si="5"/>
        <v>77</v>
      </c>
      <c r="H78" s="44">
        <f t="shared" si="3"/>
        <v>0</v>
      </c>
      <c r="I78" s="38" t="str">
        <f t="shared" si="4"/>
        <v>Non-compliant – logbook gate failed</v>
      </c>
    </row>
    <row r="79" spans="1:9" ht="40.799999999999997" customHeight="1" x14ac:dyDescent="0.3">
      <c r="A79" s="39">
        <f t="shared" si="5"/>
        <v>78</v>
      </c>
      <c r="H79" s="44">
        <f t="shared" si="3"/>
        <v>0</v>
      </c>
      <c r="I79" s="38" t="str">
        <f t="shared" si="4"/>
        <v>Non-compliant – logbook gate failed</v>
      </c>
    </row>
    <row r="80" spans="1:9" ht="40.799999999999997" customHeight="1" x14ac:dyDescent="0.3">
      <c r="A80" s="39">
        <f t="shared" si="5"/>
        <v>79</v>
      </c>
      <c r="H80" s="44">
        <f t="shared" si="3"/>
        <v>0</v>
      </c>
      <c r="I80" s="38" t="str">
        <f t="shared" si="4"/>
        <v>Non-compliant – logbook gate failed</v>
      </c>
    </row>
    <row r="81" spans="1:9" ht="40.799999999999997" customHeight="1" x14ac:dyDescent="0.3">
      <c r="A81" s="39">
        <f t="shared" si="5"/>
        <v>80</v>
      </c>
      <c r="H81" s="44">
        <f t="shared" si="3"/>
        <v>0</v>
      </c>
      <c r="I81" s="38" t="str">
        <f t="shared" si="4"/>
        <v>Non-compliant – logbook gate failed</v>
      </c>
    </row>
    <row r="82" spans="1:9" ht="40.799999999999997" customHeight="1" x14ac:dyDescent="0.3">
      <c r="A82" s="39">
        <f t="shared" si="5"/>
        <v>81</v>
      </c>
      <c r="H82" s="44">
        <f t="shared" si="3"/>
        <v>0</v>
      </c>
      <c r="I82" s="38" t="str">
        <f t="shared" si="4"/>
        <v>Non-compliant – logbook gate failed</v>
      </c>
    </row>
    <row r="83" spans="1:9" ht="40.799999999999997" customHeight="1" x14ac:dyDescent="0.3">
      <c r="A83" s="39">
        <f t="shared" si="5"/>
        <v>82</v>
      </c>
      <c r="H83" s="44">
        <f t="shared" si="3"/>
        <v>0</v>
      </c>
      <c r="I83" s="38" t="str">
        <f t="shared" si="4"/>
        <v>Non-compliant – logbook gate failed</v>
      </c>
    </row>
    <row r="84" spans="1:9" ht="40.799999999999997" customHeight="1" x14ac:dyDescent="0.3">
      <c r="A84" s="39">
        <f t="shared" si="5"/>
        <v>83</v>
      </c>
      <c r="H84" s="44">
        <f t="shared" si="3"/>
        <v>0</v>
      </c>
      <c r="I84" s="38" t="str">
        <f t="shared" si="4"/>
        <v>Non-compliant – logbook gate failed</v>
      </c>
    </row>
    <row r="85" spans="1:9" ht="40.799999999999997" customHeight="1" x14ac:dyDescent="0.3">
      <c r="A85" s="39">
        <f t="shared" si="5"/>
        <v>84</v>
      </c>
      <c r="H85" s="44">
        <f t="shared" si="3"/>
        <v>0</v>
      </c>
      <c r="I85" s="38" t="str">
        <f t="shared" si="4"/>
        <v>Non-compliant – logbook gate failed</v>
      </c>
    </row>
    <row r="86" spans="1:9" ht="40.799999999999997" customHeight="1" x14ac:dyDescent="0.3">
      <c r="A86" s="39">
        <f t="shared" si="5"/>
        <v>85</v>
      </c>
      <c r="H86" s="44">
        <f t="shared" si="3"/>
        <v>0</v>
      </c>
      <c r="I86" s="38" t="str">
        <f t="shared" si="4"/>
        <v>Non-compliant – logbook gate failed</v>
      </c>
    </row>
    <row r="87" spans="1:9" ht="40.799999999999997" customHeight="1" x14ac:dyDescent="0.3">
      <c r="A87" s="39">
        <f t="shared" si="5"/>
        <v>86</v>
      </c>
      <c r="H87" s="44">
        <f t="shared" si="3"/>
        <v>0</v>
      </c>
      <c r="I87" s="38" t="str">
        <f t="shared" si="4"/>
        <v>Non-compliant – logbook gate failed</v>
      </c>
    </row>
    <row r="88" spans="1:9" ht="40.799999999999997" customHeight="1" x14ac:dyDescent="0.3">
      <c r="A88" s="39">
        <f t="shared" si="5"/>
        <v>87</v>
      </c>
      <c r="H88" s="44">
        <f t="shared" si="3"/>
        <v>0</v>
      </c>
      <c r="I88" s="38" t="str">
        <f t="shared" si="4"/>
        <v>Non-compliant – logbook gate failed</v>
      </c>
    </row>
    <row r="89" spans="1:9" ht="40.799999999999997" customHeight="1" x14ac:dyDescent="0.3">
      <c r="A89" s="39">
        <f t="shared" si="5"/>
        <v>88</v>
      </c>
      <c r="H89" s="44">
        <f t="shared" si="3"/>
        <v>0</v>
      </c>
      <c r="I89" s="38" t="str">
        <f t="shared" si="4"/>
        <v>Non-compliant – logbook gate failed</v>
      </c>
    </row>
    <row r="90" spans="1:9" ht="40.799999999999997" customHeight="1" x14ac:dyDescent="0.3">
      <c r="A90" s="39">
        <f t="shared" si="5"/>
        <v>89</v>
      </c>
      <c r="H90" s="44">
        <f t="shared" si="3"/>
        <v>0</v>
      </c>
      <c r="I90" s="38" t="str">
        <f t="shared" si="4"/>
        <v>Non-compliant – logbook gate failed</v>
      </c>
    </row>
    <row r="91" spans="1:9" ht="40.799999999999997" customHeight="1" x14ac:dyDescent="0.3">
      <c r="A91" s="39">
        <f t="shared" si="5"/>
        <v>90</v>
      </c>
      <c r="H91" s="44">
        <f t="shared" si="3"/>
        <v>0</v>
      </c>
      <c r="I91" s="38" t="str">
        <f t="shared" si="4"/>
        <v>Non-compliant – logbook gate failed</v>
      </c>
    </row>
    <row r="92" spans="1:9" ht="40.799999999999997" customHeight="1" x14ac:dyDescent="0.3">
      <c r="A92" s="39">
        <f t="shared" si="5"/>
        <v>91</v>
      </c>
      <c r="H92" s="44">
        <f t="shared" si="3"/>
        <v>0</v>
      </c>
      <c r="I92" s="38" t="str">
        <f t="shared" si="4"/>
        <v>Non-compliant – logbook gate failed</v>
      </c>
    </row>
    <row r="93" spans="1:9" ht="40.799999999999997" customHeight="1" x14ac:dyDescent="0.3">
      <c r="A93" s="39">
        <f t="shared" si="5"/>
        <v>92</v>
      </c>
      <c r="H93" s="44">
        <f t="shared" si="3"/>
        <v>0</v>
      </c>
      <c r="I93" s="38" t="str">
        <f t="shared" si="4"/>
        <v>Non-compliant – logbook gate failed</v>
      </c>
    </row>
  </sheetData>
  <mergeCells count="1">
    <mergeCell ref="N6:Q6"/>
  </mergeCells>
  <dataValidations count="1">
    <dataValidation type="list" allowBlank="1" showInputMessage="1" showErrorMessage="1" sqref="C2:C55 D1:G1048576" xr:uid="{2ACE8A32-D000-4030-BE6C-9B10A2789630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9"/>
  <sheetViews>
    <sheetView zoomScale="90" zoomScaleNormal="90" workbookViewId="0">
      <pane xSplit="2" topLeftCell="C1" activePane="topRight" state="frozen"/>
      <selection pane="topRight" activeCell="H51" sqref="H51"/>
    </sheetView>
  </sheetViews>
  <sheetFormatPr defaultColWidth="8.5546875" defaultRowHeight="40.200000000000003" customHeight="1" x14ac:dyDescent="0.3"/>
  <cols>
    <col min="1" max="1" width="20" style="47" customWidth="1"/>
    <col min="2" max="3" width="22.109375" style="47" customWidth="1"/>
    <col min="4" max="4" width="23.109375" style="47" customWidth="1"/>
    <col min="5" max="5" width="24.6640625" style="47" customWidth="1"/>
    <col min="6" max="7" width="20" style="47" customWidth="1"/>
    <col min="8" max="8" width="40" style="47" customWidth="1"/>
    <col min="9" max="11" width="8.5546875" style="47" customWidth="1"/>
    <col min="12" max="12" width="17.109375" style="47" customWidth="1"/>
    <col min="13" max="13" width="16.44140625" style="47" customWidth="1"/>
    <col min="14" max="14" width="20.109375" style="47" customWidth="1"/>
    <col min="15" max="15" width="8.5546875" style="47" customWidth="1"/>
    <col min="16" max="16384" width="8.5546875" style="47"/>
  </cols>
  <sheetData>
    <row r="1" spans="1:14" ht="40.200000000000003" customHeight="1" x14ac:dyDescent="0.3">
      <c r="A1" s="42" t="s">
        <v>0</v>
      </c>
      <c r="B1" s="42" t="s">
        <v>1</v>
      </c>
      <c r="C1" s="42" t="s">
        <v>213</v>
      </c>
      <c r="D1" s="42" t="s">
        <v>214</v>
      </c>
      <c r="E1" s="42" t="s">
        <v>215</v>
      </c>
      <c r="F1" s="42" t="s">
        <v>35</v>
      </c>
      <c r="G1" s="42" t="s">
        <v>125</v>
      </c>
      <c r="H1" s="42" t="s">
        <v>126</v>
      </c>
    </row>
    <row r="2" spans="1:14" ht="40.200000000000003" customHeight="1" x14ac:dyDescent="0.3">
      <c r="A2" s="38">
        <v>1</v>
      </c>
      <c r="B2" s="40" t="s">
        <v>48</v>
      </c>
      <c r="C2" s="40"/>
      <c r="D2" s="38">
        <v>16234344</v>
      </c>
      <c r="E2" s="38">
        <v>17077043</v>
      </c>
      <c r="F2" s="44">
        <f t="shared" ref="F2:F33" si="0">IF(OR(D2=0,E2=0),"",D2/E2)</f>
        <v>0.95065310780092316</v>
      </c>
      <c r="G2" s="44">
        <f t="shared" ref="G2:G65" si="1">IF(C2="No",0,IF(F2="","",IF(F2&lt;=0.7,1,IF(F2&gt;=1.2,0,(1.2-F2)/0.5))))</f>
        <v>0.49869378439815359</v>
      </c>
      <c r="H2" s="38" t="str">
        <f t="shared" ref="H2:H65" si="2">IF(C2="No","No audit report – score set to zero",IF(G2="","No data",IF(G2=1,"Fully compliant – strong financial sustainability",IF(G2=0,"Non-compliant – operating deficit","Partially compliant – declining toward breakeven/deficit"))))</f>
        <v>Partially compliant – declining toward breakeven/deficit</v>
      </c>
      <c r="L2" s="57" t="s">
        <v>143</v>
      </c>
      <c r="M2" s="74"/>
      <c r="N2" s="74"/>
    </row>
    <row r="3" spans="1:14" ht="40.200000000000003" customHeight="1" x14ac:dyDescent="0.3">
      <c r="A3" s="39">
        <f t="shared" ref="A3:A66" si="3">A2+1</f>
        <v>2</v>
      </c>
      <c r="B3" s="41" t="s">
        <v>54</v>
      </c>
      <c r="C3" s="41" t="s">
        <v>53</v>
      </c>
      <c r="D3" s="39">
        <v>13727893</v>
      </c>
      <c r="E3" s="39">
        <v>20770712</v>
      </c>
      <c r="F3" s="46">
        <f t="shared" si="0"/>
        <v>0.66092548969914944</v>
      </c>
      <c r="G3" s="44">
        <f t="shared" si="1"/>
        <v>1</v>
      </c>
      <c r="H3" s="38" t="str">
        <f t="shared" si="2"/>
        <v>Fully compliant – strong financial sustainability</v>
      </c>
      <c r="L3" s="47" t="s">
        <v>216</v>
      </c>
      <c r="M3" s="47" t="s">
        <v>129</v>
      </c>
      <c r="N3" s="47" t="s">
        <v>130</v>
      </c>
    </row>
    <row r="4" spans="1:14" ht="40.200000000000003" customHeight="1" x14ac:dyDescent="0.3">
      <c r="A4" s="39">
        <f t="shared" si="3"/>
        <v>3</v>
      </c>
      <c r="B4" s="40" t="s">
        <v>57</v>
      </c>
      <c r="C4" s="40"/>
      <c r="D4" s="38">
        <v>30000</v>
      </c>
      <c r="E4" s="38">
        <v>40000</v>
      </c>
      <c r="F4" s="44">
        <f t="shared" si="0"/>
        <v>0.75</v>
      </c>
      <c r="G4" s="44">
        <f t="shared" si="1"/>
        <v>0.89999999999999991</v>
      </c>
      <c r="H4" s="38" t="str">
        <f t="shared" si="2"/>
        <v>Partially compliant – declining toward breakeven/deficit</v>
      </c>
      <c r="L4" s="47" t="s">
        <v>217</v>
      </c>
      <c r="M4" s="47">
        <v>1</v>
      </c>
      <c r="N4" s="47" t="s">
        <v>132</v>
      </c>
    </row>
    <row r="5" spans="1:14" ht="40.200000000000003" customHeight="1" x14ac:dyDescent="0.3">
      <c r="A5" s="39">
        <f t="shared" si="3"/>
        <v>4</v>
      </c>
      <c r="B5" s="41" t="s">
        <v>61</v>
      </c>
      <c r="C5" s="41" t="s">
        <v>53</v>
      </c>
      <c r="D5" s="39">
        <v>2942620</v>
      </c>
      <c r="E5" s="39">
        <v>9993660</v>
      </c>
      <c r="F5" s="46">
        <f t="shared" si="0"/>
        <v>0.29444868046341383</v>
      </c>
      <c r="G5" s="44">
        <f t="shared" si="1"/>
        <v>1</v>
      </c>
      <c r="H5" s="38" t="str">
        <f t="shared" si="2"/>
        <v>Fully compliant – strong financial sustainability</v>
      </c>
      <c r="L5" s="47" t="s">
        <v>218</v>
      </c>
      <c r="M5" s="47" t="s">
        <v>219</v>
      </c>
      <c r="N5" s="47" t="s">
        <v>135</v>
      </c>
    </row>
    <row r="6" spans="1:14" ht="40.200000000000003" customHeight="1" x14ac:dyDescent="0.3">
      <c r="A6" s="39">
        <f t="shared" si="3"/>
        <v>5</v>
      </c>
      <c r="B6" s="40" t="s">
        <v>64</v>
      </c>
      <c r="C6" s="40"/>
      <c r="D6" s="38"/>
      <c r="E6" s="38"/>
      <c r="F6" s="44" t="str">
        <f t="shared" si="0"/>
        <v/>
      </c>
      <c r="G6" s="44" t="str">
        <f t="shared" si="1"/>
        <v/>
      </c>
      <c r="H6" s="38" t="str">
        <f t="shared" si="2"/>
        <v>No data</v>
      </c>
      <c r="L6" s="47" t="s">
        <v>220</v>
      </c>
      <c r="M6" s="47">
        <v>0</v>
      </c>
      <c r="N6" s="47" t="s">
        <v>137</v>
      </c>
    </row>
    <row r="7" spans="1:14" ht="40.200000000000003" customHeight="1" x14ac:dyDescent="0.3">
      <c r="A7" s="39">
        <f t="shared" si="3"/>
        <v>6</v>
      </c>
      <c r="B7" s="47" t="s">
        <v>66</v>
      </c>
      <c r="D7" s="28">
        <v>875000</v>
      </c>
      <c r="E7" s="28">
        <v>1700000</v>
      </c>
      <c r="F7" s="28">
        <f t="shared" si="0"/>
        <v>0.51470588235294112</v>
      </c>
      <c r="G7" s="44">
        <f t="shared" si="1"/>
        <v>1</v>
      </c>
      <c r="H7" s="38" t="str">
        <f t="shared" si="2"/>
        <v>Fully compliant – strong financial sustainability</v>
      </c>
    </row>
    <row r="8" spans="1:14" ht="40.200000000000003" customHeight="1" x14ac:dyDescent="0.3">
      <c r="A8" s="39">
        <f t="shared" si="3"/>
        <v>7</v>
      </c>
      <c r="B8" s="47" t="s">
        <v>69</v>
      </c>
      <c r="D8" s="28"/>
      <c r="E8" s="28"/>
      <c r="F8" s="28" t="str">
        <f t="shared" si="0"/>
        <v/>
      </c>
      <c r="G8" s="44" t="str">
        <f t="shared" si="1"/>
        <v/>
      </c>
      <c r="H8" s="38" t="str">
        <f t="shared" si="2"/>
        <v>No data</v>
      </c>
    </row>
    <row r="9" spans="1:14" ht="40.200000000000003" customHeight="1" x14ac:dyDescent="0.3">
      <c r="A9" s="39">
        <f t="shared" si="3"/>
        <v>8</v>
      </c>
      <c r="B9" s="47" t="s">
        <v>73</v>
      </c>
      <c r="F9" s="28" t="str">
        <f t="shared" si="0"/>
        <v/>
      </c>
      <c r="G9" s="44" t="str">
        <f t="shared" si="1"/>
        <v/>
      </c>
      <c r="H9" s="38" t="str">
        <f t="shared" si="2"/>
        <v>No data</v>
      </c>
    </row>
    <row r="10" spans="1:14" ht="40.200000000000003" customHeight="1" x14ac:dyDescent="0.3">
      <c r="A10" s="39">
        <f t="shared" si="3"/>
        <v>9</v>
      </c>
      <c r="B10" s="47" t="s">
        <v>75</v>
      </c>
      <c r="F10" s="28" t="str">
        <f t="shared" si="0"/>
        <v/>
      </c>
      <c r="G10" s="44" t="str">
        <f t="shared" si="1"/>
        <v/>
      </c>
      <c r="H10" s="38" t="str">
        <f t="shared" si="2"/>
        <v>No data</v>
      </c>
    </row>
    <row r="11" spans="1:14" ht="40.200000000000003" customHeight="1" x14ac:dyDescent="0.3">
      <c r="A11" s="39">
        <f t="shared" si="3"/>
        <v>10</v>
      </c>
      <c r="B11" s="47" t="s">
        <v>78</v>
      </c>
      <c r="F11" s="28" t="str">
        <f t="shared" si="0"/>
        <v/>
      </c>
      <c r="G11" s="44" t="str">
        <f t="shared" si="1"/>
        <v/>
      </c>
      <c r="H11" s="38" t="str">
        <f t="shared" si="2"/>
        <v>No data</v>
      </c>
    </row>
    <row r="12" spans="1:14" ht="40.200000000000003" customHeight="1" x14ac:dyDescent="0.3">
      <c r="A12" s="39">
        <f t="shared" si="3"/>
        <v>11</v>
      </c>
      <c r="B12" s="47" t="s">
        <v>80</v>
      </c>
      <c r="F12" s="28" t="str">
        <f t="shared" si="0"/>
        <v/>
      </c>
      <c r="G12" s="44" t="str">
        <f t="shared" si="1"/>
        <v/>
      </c>
      <c r="H12" s="38" t="str">
        <f t="shared" si="2"/>
        <v>No data</v>
      </c>
    </row>
    <row r="13" spans="1:14" ht="40.200000000000003" customHeight="1" x14ac:dyDescent="0.3">
      <c r="A13" s="39">
        <f t="shared" si="3"/>
        <v>12</v>
      </c>
      <c r="B13" s="47" t="s">
        <v>82</v>
      </c>
      <c r="D13" s="47">
        <v>2373000</v>
      </c>
      <c r="E13" s="47">
        <v>2468000</v>
      </c>
      <c r="F13" s="28">
        <f t="shared" si="0"/>
        <v>0.96150729335494323</v>
      </c>
      <c r="G13" s="44">
        <f t="shared" si="1"/>
        <v>0.47698541329011346</v>
      </c>
      <c r="H13" s="38" t="str">
        <f t="shared" si="2"/>
        <v>Partially compliant – declining toward breakeven/deficit</v>
      </c>
    </row>
    <row r="14" spans="1:14" ht="40.200000000000003" customHeight="1" x14ac:dyDescent="0.3">
      <c r="A14" s="39">
        <f t="shared" si="3"/>
        <v>13</v>
      </c>
      <c r="B14" s="47" t="s">
        <v>84</v>
      </c>
      <c r="D14" s="47">
        <f>10202.08892</f>
        <v>10202.08892</v>
      </c>
      <c r="E14" s="47">
        <f>7363.55793</f>
        <v>7363.5579299999999</v>
      </c>
      <c r="F14" s="28">
        <f t="shared" si="0"/>
        <v>1.385483623132167</v>
      </c>
      <c r="G14" s="44">
        <f t="shared" si="1"/>
        <v>0</v>
      </c>
      <c r="H14" s="38" t="str">
        <f t="shared" si="2"/>
        <v>Non-compliant – operating deficit</v>
      </c>
    </row>
    <row r="15" spans="1:14" ht="40.200000000000003" customHeight="1" x14ac:dyDescent="0.3">
      <c r="A15" s="39">
        <f t="shared" si="3"/>
        <v>14</v>
      </c>
      <c r="B15" s="47" t="s">
        <v>86</v>
      </c>
      <c r="E15" s="47">
        <v>24000000</v>
      </c>
      <c r="F15" s="28" t="str">
        <f t="shared" si="0"/>
        <v/>
      </c>
      <c r="G15" s="44" t="str">
        <f t="shared" si="1"/>
        <v/>
      </c>
      <c r="H15" s="38" t="str">
        <f t="shared" si="2"/>
        <v>No data</v>
      </c>
    </row>
    <row r="16" spans="1:14" ht="40.200000000000003" customHeight="1" x14ac:dyDescent="0.3">
      <c r="A16" s="39">
        <f t="shared" si="3"/>
        <v>15</v>
      </c>
      <c r="B16" s="47" t="s">
        <v>88</v>
      </c>
      <c r="D16" s="47">
        <v>6000000</v>
      </c>
      <c r="E16" s="47">
        <v>9600000</v>
      </c>
      <c r="F16" s="28">
        <f t="shared" si="0"/>
        <v>0.625</v>
      </c>
      <c r="G16" s="44">
        <f t="shared" si="1"/>
        <v>1</v>
      </c>
      <c r="H16" s="38" t="str">
        <f t="shared" si="2"/>
        <v>Fully compliant – strong financial sustainability</v>
      </c>
    </row>
    <row r="17" spans="1:8" ht="40.200000000000003" customHeight="1" x14ac:dyDescent="0.3">
      <c r="A17" s="39">
        <f t="shared" si="3"/>
        <v>16</v>
      </c>
      <c r="B17" s="47" t="s">
        <v>90</v>
      </c>
      <c r="D17" s="47">
        <v>9600000</v>
      </c>
      <c r="E17" s="47">
        <v>12000000</v>
      </c>
      <c r="F17" s="28">
        <f t="shared" si="0"/>
        <v>0.8</v>
      </c>
      <c r="G17" s="44">
        <f t="shared" si="1"/>
        <v>0.79999999999999982</v>
      </c>
      <c r="H17" s="38" t="str">
        <f t="shared" si="2"/>
        <v>Partially compliant – declining toward breakeven/deficit</v>
      </c>
    </row>
    <row r="18" spans="1:8" ht="40.200000000000003" customHeight="1" x14ac:dyDescent="0.3">
      <c r="A18" s="39">
        <f t="shared" si="3"/>
        <v>17</v>
      </c>
      <c r="B18" s="47" t="s">
        <v>91</v>
      </c>
      <c r="F18" s="28" t="str">
        <f t="shared" si="0"/>
        <v/>
      </c>
      <c r="G18" s="44" t="str">
        <f t="shared" si="1"/>
        <v/>
      </c>
      <c r="H18" s="38" t="str">
        <f t="shared" si="2"/>
        <v>No data</v>
      </c>
    </row>
    <row r="19" spans="1:8" ht="40.200000000000003" customHeight="1" x14ac:dyDescent="0.3">
      <c r="A19" s="39">
        <f t="shared" si="3"/>
        <v>18</v>
      </c>
      <c r="B19" s="47" t="s">
        <v>92</v>
      </c>
      <c r="D19" s="47">
        <v>5000000</v>
      </c>
      <c r="E19" s="47">
        <v>4800000</v>
      </c>
      <c r="F19" s="28">
        <f t="shared" si="0"/>
        <v>1.0416666666666667</v>
      </c>
      <c r="G19" s="44">
        <f t="shared" si="1"/>
        <v>0.31666666666666643</v>
      </c>
      <c r="H19" s="38" t="str">
        <f t="shared" si="2"/>
        <v>Partially compliant – declining toward breakeven/deficit</v>
      </c>
    </row>
    <row r="20" spans="1:8" ht="40.200000000000003" customHeight="1" x14ac:dyDescent="0.3">
      <c r="A20" s="39">
        <f t="shared" si="3"/>
        <v>19</v>
      </c>
      <c r="B20" s="47" t="s">
        <v>93</v>
      </c>
      <c r="F20" s="28" t="str">
        <f t="shared" si="0"/>
        <v/>
      </c>
      <c r="G20" s="44" t="str">
        <f t="shared" si="1"/>
        <v/>
      </c>
      <c r="H20" s="38" t="str">
        <f t="shared" si="2"/>
        <v>No data</v>
      </c>
    </row>
    <row r="21" spans="1:8" ht="40.200000000000003" customHeight="1" x14ac:dyDescent="0.3">
      <c r="A21" s="39">
        <f t="shared" si="3"/>
        <v>20</v>
      </c>
      <c r="B21" s="47" t="s">
        <v>94</v>
      </c>
      <c r="D21" s="47">
        <v>135700000</v>
      </c>
      <c r="E21" s="47">
        <v>129500000</v>
      </c>
      <c r="F21" s="28">
        <f t="shared" si="0"/>
        <v>1.047876447876448</v>
      </c>
      <c r="G21" s="44">
        <f t="shared" si="1"/>
        <v>0.30424710424710399</v>
      </c>
      <c r="H21" s="38" t="str">
        <f t="shared" si="2"/>
        <v>Partially compliant – declining toward breakeven/deficit</v>
      </c>
    </row>
    <row r="22" spans="1:8" ht="40.200000000000003" customHeight="1" x14ac:dyDescent="0.3">
      <c r="A22" s="39">
        <f t="shared" si="3"/>
        <v>21</v>
      </c>
      <c r="B22" s="47" t="s">
        <v>96</v>
      </c>
      <c r="F22" s="28" t="str">
        <f t="shared" si="0"/>
        <v/>
      </c>
      <c r="G22" s="44" t="str">
        <f t="shared" si="1"/>
        <v/>
      </c>
      <c r="H22" s="38" t="str">
        <f t="shared" si="2"/>
        <v>No data</v>
      </c>
    </row>
    <row r="23" spans="1:8" ht="40.200000000000003" customHeight="1" x14ac:dyDescent="0.3">
      <c r="A23" s="39">
        <f t="shared" si="3"/>
        <v>22</v>
      </c>
      <c r="B23" s="47" t="s">
        <v>97</v>
      </c>
      <c r="D23" s="47">
        <v>30329000</v>
      </c>
      <c r="E23" s="47">
        <v>33951000</v>
      </c>
      <c r="F23" s="28">
        <f t="shared" si="0"/>
        <v>0.8933168389738152</v>
      </c>
      <c r="G23" s="44">
        <f t="shared" si="1"/>
        <v>0.61336632205236952</v>
      </c>
      <c r="H23" s="38" t="str">
        <f t="shared" si="2"/>
        <v>Partially compliant – declining toward breakeven/deficit</v>
      </c>
    </row>
    <row r="24" spans="1:8" ht="40.200000000000003" customHeight="1" x14ac:dyDescent="0.3">
      <c r="A24" s="39">
        <f t="shared" si="3"/>
        <v>23</v>
      </c>
      <c r="B24" s="47" t="s">
        <v>99</v>
      </c>
      <c r="F24" s="28" t="str">
        <f t="shared" si="0"/>
        <v/>
      </c>
      <c r="G24" s="44" t="str">
        <f t="shared" si="1"/>
        <v/>
      </c>
      <c r="H24" s="38" t="str">
        <f t="shared" si="2"/>
        <v>No data</v>
      </c>
    </row>
    <row r="25" spans="1:8" ht="40.200000000000003" customHeight="1" x14ac:dyDescent="0.3">
      <c r="A25" s="39">
        <f t="shared" si="3"/>
        <v>24</v>
      </c>
      <c r="B25" s="47" t="s">
        <v>100</v>
      </c>
      <c r="D25" s="47">
        <v>32645000</v>
      </c>
      <c r="E25" s="47">
        <v>42273000</v>
      </c>
      <c r="F25" s="28">
        <f t="shared" si="0"/>
        <v>0.77224232961937878</v>
      </c>
      <c r="G25" s="44">
        <f t="shared" si="1"/>
        <v>0.85551534076124236</v>
      </c>
      <c r="H25" s="38" t="str">
        <f t="shared" si="2"/>
        <v>Partially compliant – declining toward breakeven/deficit</v>
      </c>
    </row>
    <row r="26" spans="1:8" ht="40.200000000000003" customHeight="1" x14ac:dyDescent="0.3">
      <c r="A26" s="39">
        <f t="shared" si="3"/>
        <v>25</v>
      </c>
      <c r="B26" s="47" t="s">
        <v>103</v>
      </c>
      <c r="F26" s="28" t="str">
        <f t="shared" si="0"/>
        <v/>
      </c>
      <c r="G26" s="44" t="str">
        <f t="shared" si="1"/>
        <v/>
      </c>
      <c r="H26" s="38" t="str">
        <f t="shared" si="2"/>
        <v>No data</v>
      </c>
    </row>
    <row r="27" spans="1:8" ht="40.200000000000003" customHeight="1" x14ac:dyDescent="0.3">
      <c r="A27" s="39">
        <f t="shared" si="3"/>
        <v>26</v>
      </c>
      <c r="B27" s="47" t="s">
        <v>105</v>
      </c>
      <c r="D27" s="47">
        <v>200000</v>
      </c>
      <c r="E27" s="47">
        <v>100000</v>
      </c>
      <c r="F27" s="28">
        <f t="shared" si="0"/>
        <v>2</v>
      </c>
      <c r="G27" s="44">
        <f t="shared" si="1"/>
        <v>0</v>
      </c>
      <c r="H27" s="38" t="str">
        <f t="shared" si="2"/>
        <v>Non-compliant – operating deficit</v>
      </c>
    </row>
    <row r="28" spans="1:8" ht="40.200000000000003" customHeight="1" x14ac:dyDescent="0.3">
      <c r="A28" s="39">
        <f t="shared" si="3"/>
        <v>27</v>
      </c>
      <c r="B28" s="47" t="s">
        <v>107</v>
      </c>
      <c r="D28" s="47">
        <v>36075000</v>
      </c>
      <c r="E28" s="47">
        <v>56688000</v>
      </c>
      <c r="F28" s="28">
        <f t="shared" si="0"/>
        <v>0.63637806943268416</v>
      </c>
      <c r="G28" s="44">
        <f t="shared" si="1"/>
        <v>1</v>
      </c>
      <c r="H28" s="38" t="str">
        <f t="shared" si="2"/>
        <v>Fully compliant – strong financial sustainability</v>
      </c>
    </row>
    <row r="29" spans="1:8" ht="40.200000000000003" customHeight="1" x14ac:dyDescent="0.3">
      <c r="A29" s="39">
        <f t="shared" si="3"/>
        <v>28</v>
      </c>
      <c r="B29" s="47" t="s">
        <v>110</v>
      </c>
      <c r="F29" s="28" t="str">
        <f t="shared" si="0"/>
        <v/>
      </c>
      <c r="G29" s="44" t="str">
        <f t="shared" si="1"/>
        <v/>
      </c>
      <c r="H29" s="38" t="str">
        <f t="shared" si="2"/>
        <v>No data</v>
      </c>
    </row>
    <row r="30" spans="1:8" ht="40.200000000000003" customHeight="1" x14ac:dyDescent="0.3">
      <c r="A30" s="39">
        <f t="shared" si="3"/>
        <v>29</v>
      </c>
      <c r="B30" s="47" t="s">
        <v>111</v>
      </c>
      <c r="F30" s="28" t="str">
        <f t="shared" si="0"/>
        <v/>
      </c>
      <c r="G30" s="44" t="str">
        <f t="shared" si="1"/>
        <v/>
      </c>
      <c r="H30" s="38" t="str">
        <f t="shared" si="2"/>
        <v>No data</v>
      </c>
    </row>
    <row r="31" spans="1:8" ht="40.200000000000003" customHeight="1" x14ac:dyDescent="0.3">
      <c r="A31" s="39">
        <f t="shared" si="3"/>
        <v>30</v>
      </c>
      <c r="B31" s="28" t="s">
        <v>84</v>
      </c>
      <c r="C31" s="28"/>
      <c r="F31" s="28" t="str">
        <f t="shared" si="0"/>
        <v/>
      </c>
      <c r="G31" s="44" t="str">
        <f t="shared" si="1"/>
        <v/>
      </c>
      <c r="H31" s="38" t="str">
        <f t="shared" si="2"/>
        <v>No data</v>
      </c>
    </row>
    <row r="32" spans="1:8" ht="40.200000000000003" customHeight="1" x14ac:dyDescent="0.3">
      <c r="A32" s="39">
        <f t="shared" si="3"/>
        <v>31</v>
      </c>
      <c r="B32" s="28" t="s">
        <v>113</v>
      </c>
      <c r="C32" s="28"/>
      <c r="F32" s="28" t="str">
        <f t="shared" si="0"/>
        <v/>
      </c>
      <c r="G32" s="44" t="str">
        <f t="shared" si="1"/>
        <v/>
      </c>
      <c r="H32" s="38" t="str">
        <f t="shared" si="2"/>
        <v>No data</v>
      </c>
    </row>
    <row r="33" spans="1:8" ht="40.200000000000003" customHeight="1" x14ac:dyDescent="0.3">
      <c r="A33" s="39">
        <f t="shared" si="3"/>
        <v>32</v>
      </c>
      <c r="B33" s="28" t="s">
        <v>115</v>
      </c>
      <c r="C33" s="28"/>
      <c r="F33" s="28" t="str">
        <f t="shared" si="0"/>
        <v/>
      </c>
      <c r="G33" s="44" t="str">
        <f t="shared" si="1"/>
        <v/>
      </c>
      <c r="H33" s="38" t="str">
        <f t="shared" si="2"/>
        <v>No data</v>
      </c>
    </row>
    <row r="34" spans="1:8" ht="40.200000000000003" customHeight="1" x14ac:dyDescent="0.3">
      <c r="A34" s="39">
        <f t="shared" si="3"/>
        <v>33</v>
      </c>
      <c r="B34" s="28" t="s">
        <v>116</v>
      </c>
      <c r="C34" s="28"/>
      <c r="F34" s="28" t="str">
        <f t="shared" ref="F34:F71" si="4">IF(OR(D34=0,E34=0),"",D34/E34)</f>
        <v/>
      </c>
      <c r="G34" s="44" t="str">
        <f t="shared" si="1"/>
        <v/>
      </c>
      <c r="H34" s="38" t="str">
        <f t="shared" si="2"/>
        <v>No data</v>
      </c>
    </row>
    <row r="35" spans="1:8" ht="40.200000000000003" customHeight="1" x14ac:dyDescent="0.3">
      <c r="A35" s="39">
        <f t="shared" si="3"/>
        <v>34</v>
      </c>
      <c r="B35" s="28" t="s">
        <v>117</v>
      </c>
      <c r="C35" s="28"/>
      <c r="F35" s="28" t="str">
        <f t="shared" si="4"/>
        <v/>
      </c>
      <c r="G35" s="44" t="str">
        <f t="shared" si="1"/>
        <v/>
      </c>
      <c r="H35" s="38" t="str">
        <f t="shared" si="2"/>
        <v>No data</v>
      </c>
    </row>
    <row r="36" spans="1:8" ht="40.200000000000003" customHeight="1" x14ac:dyDescent="0.3">
      <c r="A36" s="39">
        <f t="shared" si="3"/>
        <v>35</v>
      </c>
      <c r="B36" s="47" t="s">
        <v>283</v>
      </c>
      <c r="C36" s="47" t="s">
        <v>53</v>
      </c>
      <c r="D36" s="47">
        <v>11686243.9</v>
      </c>
      <c r="E36" s="47">
        <v>12421357.210000001</v>
      </c>
      <c r="F36" s="28">
        <f t="shared" si="4"/>
        <v>0.94081859996682271</v>
      </c>
      <c r="G36" s="44">
        <f t="shared" si="1"/>
        <v>0.51836280006635449</v>
      </c>
      <c r="H36" s="38" t="str">
        <f t="shared" si="2"/>
        <v>Partially compliant – declining toward breakeven/deficit</v>
      </c>
    </row>
    <row r="37" spans="1:8" ht="40.200000000000003" customHeight="1" x14ac:dyDescent="0.3">
      <c r="A37" s="39">
        <f t="shared" si="3"/>
        <v>36</v>
      </c>
      <c r="B37" s="47" t="s">
        <v>291</v>
      </c>
      <c r="C37" s="47" t="s">
        <v>53</v>
      </c>
      <c r="D37" s="47">
        <v>11000000</v>
      </c>
      <c r="E37" s="47">
        <v>9000000</v>
      </c>
      <c r="F37" s="28">
        <f t="shared" si="4"/>
        <v>1.2222222222222223</v>
      </c>
      <c r="G37" s="44">
        <f t="shared" si="1"/>
        <v>0</v>
      </c>
      <c r="H37" s="38" t="str">
        <f t="shared" si="2"/>
        <v>Non-compliant – operating deficit</v>
      </c>
    </row>
    <row r="38" spans="1:8" ht="40.200000000000003" customHeight="1" x14ac:dyDescent="0.3">
      <c r="A38" s="39">
        <f t="shared" si="3"/>
        <v>37</v>
      </c>
      <c r="B38" s="47" t="s">
        <v>296</v>
      </c>
      <c r="C38" s="47" t="s">
        <v>53</v>
      </c>
      <c r="D38" s="47">
        <v>7000000</v>
      </c>
      <c r="E38" s="47">
        <v>7450000</v>
      </c>
      <c r="F38" s="28">
        <f t="shared" si="4"/>
        <v>0.93959731543624159</v>
      </c>
      <c r="G38" s="44">
        <f t="shared" si="1"/>
        <v>0.52080536912751674</v>
      </c>
      <c r="H38" s="38" t="str">
        <f t="shared" si="2"/>
        <v>Partially compliant – declining toward breakeven/deficit</v>
      </c>
    </row>
    <row r="39" spans="1:8" ht="40.200000000000003" customHeight="1" x14ac:dyDescent="0.3">
      <c r="A39" s="39">
        <f t="shared" si="3"/>
        <v>38</v>
      </c>
      <c r="B39" s="47" t="s">
        <v>297</v>
      </c>
      <c r="C39" s="47" t="s">
        <v>53</v>
      </c>
      <c r="D39" s="47">
        <v>34000000</v>
      </c>
      <c r="E39" s="47">
        <v>35000000</v>
      </c>
      <c r="F39" s="28">
        <f t="shared" si="4"/>
        <v>0.97142857142857142</v>
      </c>
      <c r="G39" s="44">
        <f t="shared" si="1"/>
        <v>0.45714285714285707</v>
      </c>
      <c r="H39" s="38" t="str">
        <f t="shared" si="2"/>
        <v>Partially compliant – declining toward breakeven/deficit</v>
      </c>
    </row>
    <row r="40" spans="1:8" ht="40.200000000000003" customHeight="1" x14ac:dyDescent="0.3">
      <c r="A40" s="39">
        <f t="shared" si="3"/>
        <v>39</v>
      </c>
      <c r="B40" s="47" t="s">
        <v>300</v>
      </c>
      <c r="C40" s="47" t="s">
        <v>53</v>
      </c>
      <c r="D40" s="47">
        <v>22000000</v>
      </c>
      <c r="E40" s="47">
        <v>21900000</v>
      </c>
      <c r="F40" s="28">
        <f t="shared" si="4"/>
        <v>1.004566210045662</v>
      </c>
      <c r="G40" s="44">
        <f t="shared" si="1"/>
        <v>0.39086757990867582</v>
      </c>
      <c r="H40" s="38" t="str">
        <f t="shared" si="2"/>
        <v>Partially compliant – declining toward breakeven/deficit</v>
      </c>
    </row>
    <row r="41" spans="1:8" ht="40.200000000000003" customHeight="1" x14ac:dyDescent="0.3">
      <c r="A41" s="39">
        <f t="shared" si="3"/>
        <v>40</v>
      </c>
      <c r="B41" s="47" t="s">
        <v>306</v>
      </c>
      <c r="C41" s="47" t="s">
        <v>53</v>
      </c>
      <c r="D41" s="47">
        <v>16200000</v>
      </c>
      <c r="E41" s="47">
        <v>12100000</v>
      </c>
      <c r="F41" s="28">
        <f t="shared" si="4"/>
        <v>1.3388429752066116</v>
      </c>
      <c r="G41" s="44">
        <f t="shared" si="1"/>
        <v>0</v>
      </c>
      <c r="H41" s="38" t="str">
        <f t="shared" si="2"/>
        <v>Non-compliant – operating deficit</v>
      </c>
    </row>
    <row r="42" spans="1:8" ht="40.200000000000003" customHeight="1" x14ac:dyDescent="0.3">
      <c r="A42" s="39">
        <f t="shared" si="3"/>
        <v>41</v>
      </c>
      <c r="B42" s="47" t="s">
        <v>308</v>
      </c>
      <c r="C42" s="47" t="s">
        <v>60</v>
      </c>
      <c r="D42" s="47">
        <v>600000</v>
      </c>
      <c r="E42" s="47">
        <v>300000</v>
      </c>
      <c r="F42" s="28">
        <f t="shared" si="4"/>
        <v>2</v>
      </c>
      <c r="G42" s="44">
        <f t="shared" si="1"/>
        <v>0</v>
      </c>
      <c r="H42" s="38" t="str">
        <f t="shared" si="2"/>
        <v>No audit report – score set to zero</v>
      </c>
    </row>
    <row r="43" spans="1:8" ht="40.200000000000003" customHeight="1" x14ac:dyDescent="0.3">
      <c r="A43" s="39">
        <f t="shared" si="3"/>
        <v>42</v>
      </c>
      <c r="B43" s="47" t="s">
        <v>311</v>
      </c>
      <c r="C43" s="47" t="s">
        <v>53</v>
      </c>
      <c r="D43" s="47">
        <v>35437864</v>
      </c>
      <c r="E43" s="47">
        <v>55229938</v>
      </c>
      <c r="F43" s="28">
        <f t="shared" si="4"/>
        <v>0.64164229190335142</v>
      </c>
      <c r="G43" s="44">
        <f t="shared" si="1"/>
        <v>1</v>
      </c>
      <c r="H43" s="38" t="str">
        <f t="shared" si="2"/>
        <v>Fully compliant – strong financial sustainability</v>
      </c>
    </row>
    <row r="44" spans="1:8" ht="40.200000000000003" customHeight="1" x14ac:dyDescent="0.3">
      <c r="A44" s="39">
        <f t="shared" si="3"/>
        <v>43</v>
      </c>
      <c r="B44" s="47" t="s">
        <v>315</v>
      </c>
      <c r="C44" s="47" t="s">
        <v>53</v>
      </c>
      <c r="D44" s="47">
        <v>987915</v>
      </c>
      <c r="E44" s="47">
        <v>5315906</v>
      </c>
      <c r="F44" s="28">
        <f t="shared" si="4"/>
        <v>0.18584132225061917</v>
      </c>
      <c r="G44" s="44">
        <f t="shared" si="1"/>
        <v>1</v>
      </c>
      <c r="H44" s="38" t="str">
        <f t="shared" si="2"/>
        <v>Fully compliant – strong financial sustainability</v>
      </c>
    </row>
    <row r="45" spans="1:8" ht="40.200000000000003" customHeight="1" x14ac:dyDescent="0.3">
      <c r="A45" s="39">
        <f t="shared" si="3"/>
        <v>44</v>
      </c>
      <c r="B45" s="47" t="s">
        <v>319</v>
      </c>
      <c r="C45" s="47" t="s">
        <v>53</v>
      </c>
      <c r="D45" s="47">
        <v>795352</v>
      </c>
      <c r="E45" s="47">
        <v>943084</v>
      </c>
      <c r="F45" s="28">
        <f t="shared" si="4"/>
        <v>0.84335223585597885</v>
      </c>
      <c r="G45" s="44">
        <f t="shared" si="1"/>
        <v>0.71329552828804221</v>
      </c>
      <c r="H45" s="38" t="str">
        <f t="shared" si="2"/>
        <v>Partially compliant – declining toward breakeven/deficit</v>
      </c>
    </row>
    <row r="46" spans="1:8" ht="40.200000000000003" customHeight="1" x14ac:dyDescent="0.3">
      <c r="A46" s="39">
        <f t="shared" si="3"/>
        <v>45</v>
      </c>
      <c r="B46" s="47" t="s">
        <v>322</v>
      </c>
      <c r="C46" s="47" t="s">
        <v>60</v>
      </c>
      <c r="D46" s="47">
        <v>1770000</v>
      </c>
      <c r="E46" s="47">
        <v>1920000</v>
      </c>
      <c r="F46" s="28">
        <f t="shared" si="4"/>
        <v>0.921875</v>
      </c>
      <c r="G46" s="44">
        <f t="shared" si="1"/>
        <v>0</v>
      </c>
      <c r="H46" s="38" t="str">
        <f t="shared" si="2"/>
        <v>No audit report – score set to zero</v>
      </c>
    </row>
    <row r="47" spans="1:8" ht="40.200000000000003" customHeight="1" x14ac:dyDescent="0.3">
      <c r="A47" s="39">
        <f t="shared" si="3"/>
        <v>46</v>
      </c>
      <c r="B47" s="47" t="s">
        <v>326</v>
      </c>
      <c r="C47" s="47" t="s">
        <v>53</v>
      </c>
      <c r="D47" s="47">
        <v>100000</v>
      </c>
      <c r="E47" s="47">
        <v>200000</v>
      </c>
      <c r="F47" s="28">
        <f t="shared" si="4"/>
        <v>0.5</v>
      </c>
      <c r="G47" s="44">
        <f t="shared" si="1"/>
        <v>1</v>
      </c>
      <c r="H47" s="38" t="str">
        <f t="shared" si="2"/>
        <v>Fully compliant – strong financial sustainability</v>
      </c>
    </row>
    <row r="48" spans="1:8" ht="40.200000000000003" customHeight="1" x14ac:dyDescent="0.3">
      <c r="A48" s="39">
        <f t="shared" si="3"/>
        <v>47</v>
      </c>
      <c r="B48" s="47" t="s">
        <v>327</v>
      </c>
      <c r="C48" s="47" t="s">
        <v>60</v>
      </c>
      <c r="D48" s="47">
        <v>92400</v>
      </c>
      <c r="E48" s="47">
        <v>60000</v>
      </c>
      <c r="F48" s="28">
        <f t="shared" si="4"/>
        <v>1.54</v>
      </c>
      <c r="G48" s="44">
        <f t="shared" si="1"/>
        <v>0</v>
      </c>
      <c r="H48" s="38" t="str">
        <f t="shared" si="2"/>
        <v>No audit report – score set to zero</v>
      </c>
    </row>
    <row r="49" spans="1:8" ht="40.200000000000003" customHeight="1" x14ac:dyDescent="0.3">
      <c r="A49" s="39">
        <f t="shared" si="3"/>
        <v>48</v>
      </c>
      <c r="B49" s="47" t="s">
        <v>330</v>
      </c>
      <c r="C49" s="47" t="s">
        <v>53</v>
      </c>
      <c r="D49" s="47">
        <v>132617654.59999999</v>
      </c>
      <c r="E49" s="47">
        <v>135032995.5</v>
      </c>
      <c r="F49" s="28">
        <f t="shared" si="4"/>
        <v>0.9821129577178046</v>
      </c>
      <c r="G49" s="44">
        <f t="shared" si="1"/>
        <v>0.43577408456439071</v>
      </c>
      <c r="H49" s="38" t="str">
        <f t="shared" si="2"/>
        <v>Partially compliant – declining toward breakeven/deficit</v>
      </c>
    </row>
    <row r="50" spans="1:8" ht="40.200000000000003" customHeight="1" x14ac:dyDescent="0.3">
      <c r="A50" s="39">
        <f t="shared" si="3"/>
        <v>49</v>
      </c>
      <c r="B50" s="47" t="str">
        <f>Spatial!B50</f>
        <v>Waling_WSUC</v>
      </c>
      <c r="C50" s="47" t="s">
        <v>53</v>
      </c>
      <c r="D50" s="47">
        <v>11860000</v>
      </c>
      <c r="E50" s="47">
        <v>14187000</v>
      </c>
      <c r="F50" s="28">
        <f t="shared" si="4"/>
        <v>0.835976598294213</v>
      </c>
      <c r="G50" s="44">
        <f t="shared" si="1"/>
        <v>0.72804680341157391</v>
      </c>
      <c r="H50" s="38" t="str">
        <f t="shared" si="2"/>
        <v>Partially compliant – declining toward breakeven/deficit</v>
      </c>
    </row>
    <row r="51" spans="1:8" ht="40.200000000000003" customHeight="1" x14ac:dyDescent="0.3">
      <c r="A51" s="39">
        <f t="shared" si="3"/>
        <v>50</v>
      </c>
      <c r="B51" s="47" t="str">
        <f>Spatial!B51</f>
        <v>Baglung_WSUC</v>
      </c>
      <c r="C51" s="47" t="s">
        <v>53</v>
      </c>
      <c r="D51" s="47">
        <v>32310105.829999998</v>
      </c>
      <c r="E51" s="47">
        <v>30385338.469999999</v>
      </c>
      <c r="F51" s="28">
        <f t="shared" si="4"/>
        <v>1.0633452663988048</v>
      </c>
      <c r="G51" s="44">
        <f t="shared" si="1"/>
        <v>0.27330946720239035</v>
      </c>
      <c r="H51" s="38" t="str">
        <f t="shared" si="2"/>
        <v>Partially compliant – declining toward breakeven/deficit</v>
      </c>
    </row>
    <row r="52" spans="1:8" ht="40.200000000000003" customHeight="1" x14ac:dyDescent="0.3">
      <c r="A52" s="39">
        <f t="shared" si="3"/>
        <v>51</v>
      </c>
      <c r="F52" s="28" t="str">
        <f t="shared" si="4"/>
        <v/>
      </c>
      <c r="G52" s="44" t="str">
        <f t="shared" si="1"/>
        <v/>
      </c>
      <c r="H52" s="38" t="str">
        <f t="shared" si="2"/>
        <v>No data</v>
      </c>
    </row>
    <row r="53" spans="1:8" ht="40.200000000000003" customHeight="1" x14ac:dyDescent="0.3">
      <c r="A53" s="39">
        <f t="shared" si="3"/>
        <v>52</v>
      </c>
      <c r="F53" s="28" t="str">
        <f t="shared" si="4"/>
        <v/>
      </c>
      <c r="G53" s="44" t="str">
        <f t="shared" si="1"/>
        <v/>
      </c>
      <c r="H53" s="38" t="str">
        <f t="shared" si="2"/>
        <v>No data</v>
      </c>
    </row>
    <row r="54" spans="1:8" ht="40.200000000000003" customHeight="1" x14ac:dyDescent="0.3">
      <c r="A54" s="39">
        <f t="shared" si="3"/>
        <v>53</v>
      </c>
      <c r="F54" s="28" t="str">
        <f t="shared" si="4"/>
        <v/>
      </c>
      <c r="G54" s="44" t="str">
        <f t="shared" si="1"/>
        <v/>
      </c>
      <c r="H54" s="38" t="str">
        <f t="shared" si="2"/>
        <v>No data</v>
      </c>
    </row>
    <row r="55" spans="1:8" ht="40.200000000000003" customHeight="1" x14ac:dyDescent="0.3">
      <c r="A55" s="39">
        <f t="shared" si="3"/>
        <v>54</v>
      </c>
      <c r="F55" s="28" t="str">
        <f t="shared" si="4"/>
        <v/>
      </c>
      <c r="G55" s="44" t="str">
        <f t="shared" si="1"/>
        <v/>
      </c>
      <c r="H55" s="38" t="str">
        <f t="shared" si="2"/>
        <v>No data</v>
      </c>
    </row>
    <row r="56" spans="1:8" ht="40.200000000000003" customHeight="1" x14ac:dyDescent="0.3">
      <c r="A56" s="39">
        <f t="shared" si="3"/>
        <v>55</v>
      </c>
      <c r="F56" s="28" t="str">
        <f t="shared" si="4"/>
        <v/>
      </c>
      <c r="G56" s="44" t="str">
        <f t="shared" si="1"/>
        <v/>
      </c>
      <c r="H56" s="38" t="str">
        <f t="shared" si="2"/>
        <v>No data</v>
      </c>
    </row>
    <row r="57" spans="1:8" ht="40.200000000000003" customHeight="1" x14ac:dyDescent="0.3">
      <c r="A57" s="39">
        <f t="shared" si="3"/>
        <v>56</v>
      </c>
      <c r="F57" s="28" t="str">
        <f t="shared" si="4"/>
        <v/>
      </c>
      <c r="G57" s="44" t="str">
        <f t="shared" si="1"/>
        <v/>
      </c>
      <c r="H57" s="38" t="str">
        <f t="shared" si="2"/>
        <v>No data</v>
      </c>
    </row>
    <row r="58" spans="1:8" ht="40.200000000000003" customHeight="1" x14ac:dyDescent="0.3">
      <c r="A58" s="39">
        <f t="shared" si="3"/>
        <v>57</v>
      </c>
      <c r="F58" s="28" t="str">
        <f t="shared" si="4"/>
        <v/>
      </c>
      <c r="G58" s="44" t="str">
        <f t="shared" si="1"/>
        <v/>
      </c>
      <c r="H58" s="38" t="str">
        <f t="shared" si="2"/>
        <v>No data</v>
      </c>
    </row>
    <row r="59" spans="1:8" ht="40.200000000000003" customHeight="1" x14ac:dyDescent="0.3">
      <c r="A59" s="39">
        <f t="shared" si="3"/>
        <v>58</v>
      </c>
      <c r="F59" s="28" t="str">
        <f t="shared" si="4"/>
        <v/>
      </c>
      <c r="G59" s="44" t="str">
        <f t="shared" si="1"/>
        <v/>
      </c>
      <c r="H59" s="38" t="str">
        <f t="shared" si="2"/>
        <v>No data</v>
      </c>
    </row>
    <row r="60" spans="1:8" ht="40.200000000000003" customHeight="1" x14ac:dyDescent="0.3">
      <c r="A60" s="39">
        <f t="shared" si="3"/>
        <v>59</v>
      </c>
      <c r="F60" s="28" t="str">
        <f t="shared" si="4"/>
        <v/>
      </c>
      <c r="G60" s="44" t="str">
        <f t="shared" si="1"/>
        <v/>
      </c>
      <c r="H60" s="38" t="str">
        <f t="shared" si="2"/>
        <v>No data</v>
      </c>
    </row>
    <row r="61" spans="1:8" ht="40.200000000000003" customHeight="1" x14ac:dyDescent="0.3">
      <c r="A61" s="39">
        <f t="shared" si="3"/>
        <v>60</v>
      </c>
      <c r="F61" s="28" t="str">
        <f t="shared" si="4"/>
        <v/>
      </c>
      <c r="G61" s="44" t="str">
        <f t="shared" si="1"/>
        <v/>
      </c>
      <c r="H61" s="38" t="str">
        <f t="shared" si="2"/>
        <v>No data</v>
      </c>
    </row>
    <row r="62" spans="1:8" ht="40.200000000000003" customHeight="1" x14ac:dyDescent="0.3">
      <c r="A62" s="39">
        <f t="shared" si="3"/>
        <v>61</v>
      </c>
      <c r="F62" s="28" t="str">
        <f t="shared" si="4"/>
        <v/>
      </c>
      <c r="G62" s="44" t="str">
        <f t="shared" si="1"/>
        <v/>
      </c>
      <c r="H62" s="38" t="str">
        <f t="shared" si="2"/>
        <v>No data</v>
      </c>
    </row>
    <row r="63" spans="1:8" ht="40.200000000000003" customHeight="1" x14ac:dyDescent="0.3">
      <c r="A63" s="39">
        <f t="shared" si="3"/>
        <v>62</v>
      </c>
      <c r="F63" s="28" t="str">
        <f t="shared" si="4"/>
        <v/>
      </c>
      <c r="G63" s="44" t="str">
        <f t="shared" si="1"/>
        <v/>
      </c>
      <c r="H63" s="38" t="str">
        <f t="shared" si="2"/>
        <v>No data</v>
      </c>
    </row>
    <row r="64" spans="1:8" ht="40.200000000000003" customHeight="1" x14ac:dyDescent="0.3">
      <c r="A64" s="39">
        <f t="shared" si="3"/>
        <v>63</v>
      </c>
      <c r="F64" s="28" t="str">
        <f t="shared" si="4"/>
        <v/>
      </c>
      <c r="G64" s="44" t="str">
        <f t="shared" si="1"/>
        <v/>
      </c>
      <c r="H64" s="38" t="str">
        <f t="shared" si="2"/>
        <v>No data</v>
      </c>
    </row>
    <row r="65" spans="1:8" ht="40.200000000000003" customHeight="1" x14ac:dyDescent="0.3">
      <c r="A65" s="39">
        <f t="shared" si="3"/>
        <v>64</v>
      </c>
      <c r="F65" s="28" t="str">
        <f t="shared" si="4"/>
        <v/>
      </c>
      <c r="G65" s="44" t="str">
        <f t="shared" si="1"/>
        <v/>
      </c>
      <c r="H65" s="38" t="str">
        <f t="shared" si="2"/>
        <v>No data</v>
      </c>
    </row>
    <row r="66" spans="1:8" ht="40.200000000000003" customHeight="1" x14ac:dyDescent="0.3">
      <c r="A66" s="39">
        <f t="shared" si="3"/>
        <v>65</v>
      </c>
      <c r="F66" s="28" t="str">
        <f t="shared" si="4"/>
        <v/>
      </c>
      <c r="G66" s="44" t="str">
        <f t="shared" ref="G66:G89" si="5">IF(C66="No",0,IF(F66="","",IF(F66&lt;=0.7,1,IF(F66&gt;=1.2,0,(1.2-F66)/0.5))))</f>
        <v/>
      </c>
      <c r="H66" s="38" t="str">
        <f t="shared" ref="H66:H89" si="6">IF(C66="No","No audit report – score set to zero",IF(G66="","No data",IF(G66=1,"Fully compliant – strong financial sustainability",IF(G66=0,"Non-compliant – operating deficit","Partially compliant – declining toward breakeven/deficit"))))</f>
        <v>No data</v>
      </c>
    </row>
    <row r="67" spans="1:8" ht="40.200000000000003" customHeight="1" x14ac:dyDescent="0.3">
      <c r="A67" s="39">
        <f t="shared" ref="A67:A84" si="7">A66+1</f>
        <v>66</v>
      </c>
      <c r="F67" s="28" t="str">
        <f t="shared" si="4"/>
        <v/>
      </c>
      <c r="G67" s="44" t="str">
        <f t="shared" si="5"/>
        <v/>
      </c>
      <c r="H67" s="38" t="str">
        <f t="shared" si="6"/>
        <v>No data</v>
      </c>
    </row>
    <row r="68" spans="1:8" ht="40.200000000000003" customHeight="1" x14ac:dyDescent="0.3">
      <c r="A68" s="39">
        <f t="shared" si="7"/>
        <v>67</v>
      </c>
      <c r="F68" s="28" t="str">
        <f t="shared" si="4"/>
        <v/>
      </c>
      <c r="G68" s="44" t="str">
        <f t="shared" si="5"/>
        <v/>
      </c>
      <c r="H68" s="38" t="str">
        <f t="shared" si="6"/>
        <v>No data</v>
      </c>
    </row>
    <row r="69" spans="1:8" ht="40.200000000000003" customHeight="1" x14ac:dyDescent="0.3">
      <c r="A69" s="39">
        <f t="shared" si="7"/>
        <v>68</v>
      </c>
      <c r="F69" s="28" t="str">
        <f t="shared" si="4"/>
        <v/>
      </c>
      <c r="G69" s="44" t="str">
        <f t="shared" si="5"/>
        <v/>
      </c>
      <c r="H69" s="38" t="str">
        <f t="shared" si="6"/>
        <v>No data</v>
      </c>
    </row>
    <row r="70" spans="1:8" ht="40.200000000000003" customHeight="1" x14ac:dyDescent="0.3">
      <c r="A70" s="39">
        <f t="shared" si="7"/>
        <v>69</v>
      </c>
      <c r="F70" s="28" t="str">
        <f t="shared" si="4"/>
        <v/>
      </c>
      <c r="G70" s="44" t="str">
        <f t="shared" si="5"/>
        <v/>
      </c>
      <c r="H70" s="38" t="str">
        <f t="shared" si="6"/>
        <v>No data</v>
      </c>
    </row>
    <row r="71" spans="1:8" ht="40.200000000000003" customHeight="1" x14ac:dyDescent="0.3">
      <c r="A71" s="39">
        <f t="shared" si="7"/>
        <v>70</v>
      </c>
      <c r="F71" s="28" t="str">
        <f t="shared" si="4"/>
        <v/>
      </c>
      <c r="G71" s="44" t="str">
        <f t="shared" si="5"/>
        <v/>
      </c>
      <c r="H71" s="38" t="str">
        <f t="shared" si="6"/>
        <v>No data</v>
      </c>
    </row>
    <row r="72" spans="1:8" ht="40.200000000000003" customHeight="1" x14ac:dyDescent="0.3">
      <c r="A72" s="39">
        <f t="shared" si="7"/>
        <v>71</v>
      </c>
      <c r="G72" s="44" t="str">
        <f t="shared" si="5"/>
        <v/>
      </c>
      <c r="H72" s="38" t="str">
        <f t="shared" si="6"/>
        <v>No data</v>
      </c>
    </row>
    <row r="73" spans="1:8" ht="40.200000000000003" customHeight="1" x14ac:dyDescent="0.3">
      <c r="A73" s="39">
        <f t="shared" si="7"/>
        <v>72</v>
      </c>
      <c r="G73" s="44" t="str">
        <f t="shared" si="5"/>
        <v/>
      </c>
      <c r="H73" s="38" t="str">
        <f t="shared" si="6"/>
        <v>No data</v>
      </c>
    </row>
    <row r="74" spans="1:8" ht="40.200000000000003" customHeight="1" x14ac:dyDescent="0.3">
      <c r="A74" s="39">
        <f t="shared" si="7"/>
        <v>73</v>
      </c>
      <c r="G74" s="44" t="str">
        <f t="shared" si="5"/>
        <v/>
      </c>
      <c r="H74" s="38" t="str">
        <f t="shared" si="6"/>
        <v>No data</v>
      </c>
    </row>
    <row r="75" spans="1:8" ht="40.200000000000003" customHeight="1" x14ac:dyDescent="0.3">
      <c r="A75" s="39">
        <f t="shared" si="7"/>
        <v>74</v>
      </c>
      <c r="G75" s="44" t="str">
        <f t="shared" si="5"/>
        <v/>
      </c>
      <c r="H75" s="38" t="str">
        <f t="shared" si="6"/>
        <v>No data</v>
      </c>
    </row>
    <row r="76" spans="1:8" ht="40.200000000000003" customHeight="1" x14ac:dyDescent="0.3">
      <c r="A76" s="39">
        <f t="shared" si="7"/>
        <v>75</v>
      </c>
      <c r="G76" s="44" t="str">
        <f t="shared" si="5"/>
        <v/>
      </c>
      <c r="H76" s="38" t="str">
        <f t="shared" si="6"/>
        <v>No data</v>
      </c>
    </row>
    <row r="77" spans="1:8" ht="40.200000000000003" customHeight="1" x14ac:dyDescent="0.3">
      <c r="A77" s="39">
        <f t="shared" si="7"/>
        <v>76</v>
      </c>
      <c r="G77" s="44" t="str">
        <f t="shared" si="5"/>
        <v/>
      </c>
      <c r="H77" s="38" t="str">
        <f t="shared" si="6"/>
        <v>No data</v>
      </c>
    </row>
    <row r="78" spans="1:8" ht="40.200000000000003" customHeight="1" x14ac:dyDescent="0.3">
      <c r="A78" s="39">
        <f t="shared" si="7"/>
        <v>77</v>
      </c>
      <c r="G78" s="44" t="str">
        <f t="shared" si="5"/>
        <v/>
      </c>
      <c r="H78" s="38" t="str">
        <f t="shared" si="6"/>
        <v>No data</v>
      </c>
    </row>
    <row r="79" spans="1:8" ht="40.200000000000003" customHeight="1" x14ac:dyDescent="0.3">
      <c r="A79" s="39">
        <f t="shared" si="7"/>
        <v>78</v>
      </c>
      <c r="G79" s="44" t="str">
        <f t="shared" si="5"/>
        <v/>
      </c>
      <c r="H79" s="38" t="str">
        <f t="shared" si="6"/>
        <v>No data</v>
      </c>
    </row>
    <row r="80" spans="1:8" ht="40.200000000000003" customHeight="1" x14ac:dyDescent="0.3">
      <c r="A80" s="39">
        <f t="shared" si="7"/>
        <v>79</v>
      </c>
      <c r="G80" s="44" t="str">
        <f t="shared" si="5"/>
        <v/>
      </c>
      <c r="H80" s="38" t="str">
        <f t="shared" si="6"/>
        <v>No data</v>
      </c>
    </row>
    <row r="81" spans="1:8" ht="40.200000000000003" customHeight="1" x14ac:dyDescent="0.3">
      <c r="A81" s="39">
        <f t="shared" si="7"/>
        <v>80</v>
      </c>
      <c r="G81" s="44" t="str">
        <f t="shared" si="5"/>
        <v/>
      </c>
      <c r="H81" s="38" t="str">
        <f t="shared" si="6"/>
        <v>No data</v>
      </c>
    </row>
    <row r="82" spans="1:8" ht="40.200000000000003" customHeight="1" x14ac:dyDescent="0.3">
      <c r="A82" s="39">
        <f t="shared" si="7"/>
        <v>81</v>
      </c>
      <c r="G82" s="44" t="str">
        <f t="shared" si="5"/>
        <v/>
      </c>
      <c r="H82" s="38" t="str">
        <f t="shared" si="6"/>
        <v>No data</v>
      </c>
    </row>
    <row r="83" spans="1:8" ht="40.200000000000003" customHeight="1" x14ac:dyDescent="0.3">
      <c r="A83" s="39">
        <f t="shared" si="7"/>
        <v>82</v>
      </c>
      <c r="G83" s="44" t="str">
        <f t="shared" si="5"/>
        <v/>
      </c>
      <c r="H83" s="38" t="str">
        <f t="shared" si="6"/>
        <v>No data</v>
      </c>
    </row>
    <row r="84" spans="1:8" ht="40.200000000000003" customHeight="1" x14ac:dyDescent="0.3">
      <c r="A84" s="39">
        <f t="shared" si="7"/>
        <v>83</v>
      </c>
      <c r="G84" s="44" t="str">
        <f t="shared" si="5"/>
        <v/>
      </c>
      <c r="H84" s="38" t="str">
        <f t="shared" si="6"/>
        <v>No data</v>
      </c>
    </row>
    <row r="85" spans="1:8" ht="40.200000000000003" customHeight="1" x14ac:dyDescent="0.3">
      <c r="G85" s="44" t="str">
        <f t="shared" si="5"/>
        <v/>
      </c>
      <c r="H85" s="38" t="str">
        <f t="shared" si="6"/>
        <v>No data</v>
      </c>
    </row>
    <row r="86" spans="1:8" ht="40.200000000000003" customHeight="1" x14ac:dyDescent="0.3">
      <c r="G86" s="44" t="str">
        <f t="shared" si="5"/>
        <v/>
      </c>
      <c r="H86" s="38" t="str">
        <f t="shared" si="6"/>
        <v>No data</v>
      </c>
    </row>
    <row r="87" spans="1:8" ht="40.200000000000003" customHeight="1" x14ac:dyDescent="0.3">
      <c r="G87" s="44" t="str">
        <f t="shared" si="5"/>
        <v/>
      </c>
      <c r="H87" s="38" t="str">
        <f t="shared" si="6"/>
        <v>No data</v>
      </c>
    </row>
    <row r="88" spans="1:8" ht="40.200000000000003" customHeight="1" x14ac:dyDescent="0.3">
      <c r="G88" s="44" t="str">
        <f t="shared" si="5"/>
        <v/>
      </c>
      <c r="H88" s="38" t="str">
        <f t="shared" si="6"/>
        <v>No data</v>
      </c>
    </row>
    <row r="89" spans="1:8" ht="40.200000000000003" customHeight="1" x14ac:dyDescent="0.3">
      <c r="G89" s="44" t="str">
        <f t="shared" si="5"/>
        <v/>
      </c>
      <c r="H89" s="38" t="str">
        <f t="shared" si="6"/>
        <v>No data</v>
      </c>
    </row>
  </sheetData>
  <mergeCells count="1">
    <mergeCell ref="L2:N2"/>
  </mergeCells>
  <dataValidations count="1">
    <dataValidation type="list" allowBlank="1" showInputMessage="1" showErrorMessage="1" sqref="C1:C1048576" xr:uid="{00000000-0002-0000-0900-000000000000}">
      <formula1>"Yes,No"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"/>
  <sheetViews>
    <sheetView zoomScaleNormal="100" workbookViewId="0">
      <pane xSplit="2" topLeftCell="C1" activePane="topRight" state="frozen"/>
      <selection pane="topRight" activeCell="G51" sqref="G51"/>
    </sheetView>
  </sheetViews>
  <sheetFormatPr defaultColWidth="8.5546875" defaultRowHeight="42.6" customHeight="1" x14ac:dyDescent="0.3"/>
  <cols>
    <col min="1" max="1" width="20" style="28" customWidth="1"/>
    <col min="2" max="2" width="28.44140625" style="28" customWidth="1"/>
    <col min="3" max="3" width="28" style="28" customWidth="1"/>
    <col min="4" max="4" width="24.21875" style="28" customWidth="1"/>
    <col min="5" max="5" width="20" style="28" customWidth="1"/>
    <col min="6" max="6" width="40" style="28" customWidth="1"/>
    <col min="7" max="7" width="42.109375" style="28" customWidth="1"/>
    <col min="8" max="9" width="8.5546875" style="28"/>
    <col min="10" max="10" width="17.88671875" style="28" customWidth="1"/>
    <col min="11" max="11" width="16.5546875" style="28" customWidth="1"/>
    <col min="12" max="12" width="16.88671875" style="28" customWidth="1"/>
    <col min="13" max="13" width="17.109375" style="28" customWidth="1"/>
    <col min="14" max="16384" width="8.5546875" style="28"/>
  </cols>
  <sheetData>
    <row r="1" spans="1:13" ht="42.6" customHeight="1" x14ac:dyDescent="0.3">
      <c r="A1" s="2" t="s">
        <v>0</v>
      </c>
      <c r="B1" s="2" t="s">
        <v>1</v>
      </c>
      <c r="C1" s="2" t="s">
        <v>221</v>
      </c>
      <c r="D1" s="2" t="s">
        <v>222</v>
      </c>
      <c r="E1" s="2" t="s">
        <v>223</v>
      </c>
      <c r="F1" s="2" t="s">
        <v>125</v>
      </c>
      <c r="G1" s="2" t="s">
        <v>126</v>
      </c>
    </row>
    <row r="2" spans="1:13" ht="42.6" customHeight="1" x14ac:dyDescent="0.3">
      <c r="A2" s="38">
        <v>1</v>
      </c>
      <c r="B2" s="40" t="s">
        <v>48</v>
      </c>
      <c r="C2" s="38">
        <v>2065</v>
      </c>
      <c r="D2" s="38"/>
      <c r="E2" s="43" t="str">
        <f>IF(OR(C2=0,D2=0),"",C2/D2*100)</f>
        <v/>
      </c>
      <c r="F2" s="44" t="str">
        <f>IF(E2="","",IF(E2&gt;=100,1,IF(E2&lt;=60,0,(E2-60)/40)))</f>
        <v/>
      </c>
      <c r="G2" s="38" t="str">
        <f>IF(F2="","No data",IF(F2=1,"Fully compliant ",IF(F2=0,"Non-compliant – below minimum threshold","Partially compliant – coverage improving ")))</f>
        <v>No data</v>
      </c>
      <c r="K2" s="86" t="s">
        <v>224</v>
      </c>
      <c r="L2" s="63"/>
      <c r="M2" s="63"/>
    </row>
    <row r="3" spans="1:13" ht="42.6" customHeight="1" x14ac:dyDescent="0.3">
      <c r="A3" s="39">
        <f t="shared" ref="A3:A66" si="0">A2+1</f>
        <v>2</v>
      </c>
      <c r="B3" s="41" t="s">
        <v>54</v>
      </c>
      <c r="C3" s="39">
        <v>2700</v>
      </c>
      <c r="D3" s="39">
        <v>2750</v>
      </c>
      <c r="E3" s="45">
        <f>IF(OR(C3=0,D3=0),"",C3/D3*100)</f>
        <v>98.181818181818187</v>
      </c>
      <c r="F3" s="46">
        <f>IF(E3="","",IF(E3&gt;=100,1,IF(E3&lt;=60,0,(E3-60)/40)))</f>
        <v>0.9545454545454547</v>
      </c>
      <c r="G3" s="39" t="str">
        <f>IF(F3="","No data",IF(F3=1,"Fully compliant – universal functional metering achieved",IF(F3=0,"Non-compliant – below minimum threshold","Partially compliant – coverage improving toward full")))</f>
        <v>Partially compliant – coverage improving toward full</v>
      </c>
      <c r="K3" s="28" t="s">
        <v>225</v>
      </c>
      <c r="L3" s="28" t="s">
        <v>129</v>
      </c>
      <c r="M3" s="28" t="s">
        <v>130</v>
      </c>
    </row>
    <row r="4" spans="1:13" ht="42.6" customHeight="1" x14ac:dyDescent="0.3">
      <c r="A4" s="39">
        <f t="shared" si="0"/>
        <v>3</v>
      </c>
      <c r="B4" s="40" t="s">
        <v>57</v>
      </c>
      <c r="C4" s="38">
        <v>15016</v>
      </c>
      <c r="D4" s="38"/>
      <c r="E4" s="43" t="str">
        <f>IF(OR(C4=0,D4=0),"",C4/D4*100)</f>
        <v/>
      </c>
      <c r="F4" s="44" t="str">
        <f>IF(E4="","",IF(E4&gt;=100,1,IF(E4&lt;=60,0,(E4-60)/40)))</f>
        <v/>
      </c>
      <c r="G4" s="38" t="str">
        <f>IF(F4="","No data",IF(F4=1,"Fully compliant – universal functional metering achieved",IF(F4=0,"Non-compliant – below minimum threshold","Partially compliant – coverage improving toward full")))</f>
        <v>No data</v>
      </c>
      <c r="K4" s="28" t="s">
        <v>226</v>
      </c>
      <c r="L4" s="28">
        <v>1</v>
      </c>
      <c r="M4" s="28" t="s">
        <v>132</v>
      </c>
    </row>
    <row r="5" spans="1:13" ht="42.6" customHeight="1" x14ac:dyDescent="0.3">
      <c r="A5" s="39">
        <f t="shared" si="0"/>
        <v>4</v>
      </c>
      <c r="B5" s="41" t="s">
        <v>61</v>
      </c>
      <c r="C5" s="39">
        <v>1300</v>
      </c>
      <c r="D5" s="39">
        <v>2100</v>
      </c>
      <c r="E5" s="45">
        <f>IF(OR(C5=0,D5=0),"",C5/D5*100)</f>
        <v>61.904761904761905</v>
      </c>
      <c r="F5" s="46">
        <f>IF(E5="","",IF(E5&gt;=100,1,IF(E5&lt;=60,0,(E5-60)/40)))</f>
        <v>4.761904761904763E-2</v>
      </c>
      <c r="G5" s="39" t="str">
        <f>IF(F5="","No data",IF(F5=1,"Fully compliant – universal functional metering achieved",IF(F5=0,"Non-compliant – below minimum threshold","Partially compliant – coverage improving toward full")))</f>
        <v>Partially compliant – coverage improving toward full</v>
      </c>
      <c r="K5" s="28" t="s">
        <v>227</v>
      </c>
      <c r="L5" s="28" t="s">
        <v>228</v>
      </c>
      <c r="M5" s="28" t="s">
        <v>135</v>
      </c>
    </row>
    <row r="6" spans="1:13" ht="42.6" customHeight="1" x14ac:dyDescent="0.3">
      <c r="A6" s="39">
        <f t="shared" si="0"/>
        <v>5</v>
      </c>
      <c r="B6" s="40" t="s">
        <v>64</v>
      </c>
      <c r="C6" s="38"/>
      <c r="D6" s="38"/>
      <c r="E6" s="43" t="str">
        <f>IF(OR(C6=0,D6=0),"",C6/D6*100)</f>
        <v/>
      </c>
      <c r="F6" s="44" t="str">
        <f>IF(E6="","",IF(E6&gt;=100,1,IF(E6&lt;=60,0,(E6-60)/40)))</f>
        <v/>
      </c>
      <c r="G6" s="38" t="str">
        <f>IF(F6="","No data",IF(F6=1,"Fully compliant – universal functional metering achieved",IF(F6=0,"Non-compliant – below minimum threshold","Partially compliant – coverage improving toward full")))</f>
        <v>No data</v>
      </c>
      <c r="K6" s="28" t="s">
        <v>229</v>
      </c>
      <c r="L6" s="28">
        <v>0</v>
      </c>
      <c r="M6" s="28" t="s">
        <v>230</v>
      </c>
    </row>
    <row r="7" spans="1:13" ht="42.6" customHeight="1" x14ac:dyDescent="0.3">
      <c r="A7" s="39">
        <f t="shared" si="0"/>
        <v>6</v>
      </c>
      <c r="B7" s="47" t="s">
        <v>66</v>
      </c>
      <c r="C7" s="47"/>
      <c r="D7" s="47"/>
      <c r="E7" s="43" t="str">
        <f t="shared" ref="E7:E70" si="1">IF(OR(C7=0,D7=0),"",C7/D7*100)</f>
        <v/>
      </c>
      <c r="F7" s="44" t="str">
        <f t="shared" ref="F7:F70" si="2">IF(E7="","",IF(E7&gt;=100,1,IF(E7&lt;=60,0,(E7-60)/40)))</f>
        <v/>
      </c>
      <c r="G7" s="38" t="str">
        <f t="shared" ref="G7:G70" si="3">IF(F7="","No data",IF(F7=1,"Fully compliant – universal functional metering achieved",IF(F7=0,"Non-compliant – below minimum threshold","Partially compliant – coverage improving toward full")))</f>
        <v>No data</v>
      </c>
    </row>
    <row r="8" spans="1:13" ht="42.6" customHeight="1" x14ac:dyDescent="0.3">
      <c r="A8" s="39">
        <f t="shared" si="0"/>
        <v>7</v>
      </c>
      <c r="B8" s="47" t="s">
        <v>69</v>
      </c>
      <c r="C8" s="47"/>
      <c r="D8" s="47"/>
      <c r="E8" s="43" t="str">
        <f t="shared" si="1"/>
        <v/>
      </c>
      <c r="F8" s="44" t="str">
        <f t="shared" si="2"/>
        <v/>
      </c>
      <c r="G8" s="38" t="str">
        <f t="shared" si="3"/>
        <v>No data</v>
      </c>
    </row>
    <row r="9" spans="1:13" ht="42.6" customHeight="1" x14ac:dyDescent="0.3">
      <c r="A9" s="39">
        <f t="shared" si="0"/>
        <v>8</v>
      </c>
      <c r="B9" s="47" t="s">
        <v>73</v>
      </c>
      <c r="C9" s="47"/>
      <c r="D9" s="47"/>
      <c r="E9" s="43" t="str">
        <f t="shared" si="1"/>
        <v/>
      </c>
      <c r="F9" s="44" t="str">
        <f t="shared" si="2"/>
        <v/>
      </c>
      <c r="G9" s="38" t="str">
        <f t="shared" si="3"/>
        <v>No data</v>
      </c>
    </row>
    <row r="10" spans="1:13" ht="42.6" customHeight="1" x14ac:dyDescent="0.3">
      <c r="A10" s="39">
        <f t="shared" si="0"/>
        <v>9</v>
      </c>
      <c r="B10" s="47" t="s">
        <v>75</v>
      </c>
      <c r="C10" s="47"/>
      <c r="D10" s="47"/>
      <c r="E10" s="43" t="str">
        <f t="shared" si="1"/>
        <v/>
      </c>
      <c r="F10" s="44" t="str">
        <f t="shared" si="2"/>
        <v/>
      </c>
      <c r="G10" s="38" t="str">
        <f t="shared" si="3"/>
        <v>No data</v>
      </c>
    </row>
    <row r="11" spans="1:13" ht="42.6" customHeight="1" x14ac:dyDescent="0.3">
      <c r="A11" s="39">
        <f t="shared" si="0"/>
        <v>10</v>
      </c>
      <c r="B11" s="47" t="s">
        <v>78</v>
      </c>
      <c r="C11" s="47"/>
      <c r="D11" s="47"/>
      <c r="E11" s="43" t="str">
        <f t="shared" si="1"/>
        <v/>
      </c>
      <c r="F11" s="44" t="str">
        <f t="shared" si="2"/>
        <v/>
      </c>
      <c r="G11" s="38" t="str">
        <f t="shared" si="3"/>
        <v>No data</v>
      </c>
    </row>
    <row r="12" spans="1:13" ht="42.6" customHeight="1" x14ac:dyDescent="0.3">
      <c r="A12" s="39">
        <f t="shared" si="0"/>
        <v>11</v>
      </c>
      <c r="B12" s="47" t="s">
        <v>80</v>
      </c>
      <c r="C12" s="47">
        <v>1216</v>
      </c>
      <c r="D12" s="47"/>
      <c r="E12" s="43" t="str">
        <f t="shared" si="1"/>
        <v/>
      </c>
      <c r="F12" s="44" t="str">
        <f t="shared" si="2"/>
        <v/>
      </c>
      <c r="G12" s="38" t="str">
        <f t="shared" si="3"/>
        <v>No data</v>
      </c>
    </row>
    <row r="13" spans="1:13" ht="42.6" customHeight="1" x14ac:dyDescent="0.3">
      <c r="A13" s="39">
        <f t="shared" si="0"/>
        <v>12</v>
      </c>
      <c r="B13" s="47" t="s">
        <v>82</v>
      </c>
      <c r="C13" s="47">
        <v>907</v>
      </c>
      <c r="D13" s="47"/>
      <c r="E13" s="43" t="str">
        <f t="shared" si="1"/>
        <v/>
      </c>
      <c r="F13" s="44" t="str">
        <f t="shared" si="2"/>
        <v/>
      </c>
      <c r="G13" s="38" t="str">
        <f t="shared" si="3"/>
        <v>No data</v>
      </c>
    </row>
    <row r="14" spans="1:13" ht="42.6" customHeight="1" x14ac:dyDescent="0.3">
      <c r="A14" s="39">
        <f t="shared" si="0"/>
        <v>13</v>
      </c>
      <c r="B14" s="47" t="s">
        <v>84</v>
      </c>
      <c r="C14" s="47">
        <v>1100</v>
      </c>
      <c r="D14" s="47"/>
      <c r="E14" s="43" t="str">
        <f t="shared" si="1"/>
        <v/>
      </c>
      <c r="F14" s="44" t="str">
        <f t="shared" si="2"/>
        <v/>
      </c>
      <c r="G14" s="38" t="str">
        <f t="shared" si="3"/>
        <v>No data</v>
      </c>
    </row>
    <row r="15" spans="1:13" ht="42.6" customHeight="1" x14ac:dyDescent="0.3">
      <c r="A15" s="39">
        <f t="shared" si="0"/>
        <v>14</v>
      </c>
      <c r="B15" s="47" t="s">
        <v>86</v>
      </c>
      <c r="C15" s="47">
        <v>5800</v>
      </c>
      <c r="D15" s="47"/>
      <c r="E15" s="43" t="str">
        <f t="shared" si="1"/>
        <v/>
      </c>
      <c r="F15" s="44" t="str">
        <f t="shared" si="2"/>
        <v/>
      </c>
      <c r="G15" s="38" t="str">
        <f t="shared" si="3"/>
        <v>No data</v>
      </c>
    </row>
    <row r="16" spans="1:13" ht="42.6" customHeight="1" x14ac:dyDescent="0.3">
      <c r="A16" s="39">
        <f t="shared" si="0"/>
        <v>15</v>
      </c>
      <c r="B16" s="47" t="s">
        <v>88</v>
      </c>
      <c r="C16" s="47">
        <v>3454</v>
      </c>
      <c r="D16" s="47"/>
      <c r="E16" s="43" t="str">
        <f t="shared" si="1"/>
        <v/>
      </c>
      <c r="F16" s="44" t="str">
        <f t="shared" si="2"/>
        <v/>
      </c>
      <c r="G16" s="38" t="str">
        <f t="shared" si="3"/>
        <v>No data</v>
      </c>
    </row>
    <row r="17" spans="1:7" ht="42.6" customHeight="1" x14ac:dyDescent="0.3">
      <c r="A17" s="39">
        <f t="shared" si="0"/>
        <v>16</v>
      </c>
      <c r="B17" s="47" t="s">
        <v>90</v>
      </c>
      <c r="C17" s="47">
        <v>4010</v>
      </c>
      <c r="D17" s="47"/>
      <c r="E17" s="43" t="str">
        <f t="shared" si="1"/>
        <v/>
      </c>
      <c r="F17" s="44" t="str">
        <f t="shared" si="2"/>
        <v/>
      </c>
      <c r="G17" s="38" t="str">
        <f t="shared" si="3"/>
        <v>No data</v>
      </c>
    </row>
    <row r="18" spans="1:7" ht="42.6" customHeight="1" x14ac:dyDescent="0.3">
      <c r="A18" s="39">
        <f t="shared" si="0"/>
        <v>17</v>
      </c>
      <c r="B18" s="47" t="s">
        <v>91</v>
      </c>
      <c r="C18" s="47">
        <v>2350</v>
      </c>
      <c r="D18" s="47"/>
      <c r="E18" s="43" t="str">
        <f t="shared" si="1"/>
        <v/>
      </c>
      <c r="F18" s="44" t="str">
        <f t="shared" si="2"/>
        <v/>
      </c>
      <c r="G18" s="38" t="str">
        <f t="shared" si="3"/>
        <v>No data</v>
      </c>
    </row>
    <row r="19" spans="1:7" ht="42.6" customHeight="1" x14ac:dyDescent="0.3">
      <c r="A19" s="39">
        <f t="shared" si="0"/>
        <v>18</v>
      </c>
      <c r="B19" s="47" t="s">
        <v>92</v>
      </c>
      <c r="C19" s="47">
        <v>2038</v>
      </c>
      <c r="D19" s="47"/>
      <c r="E19" s="43" t="str">
        <f t="shared" si="1"/>
        <v/>
      </c>
      <c r="F19" s="44" t="str">
        <f t="shared" si="2"/>
        <v/>
      </c>
      <c r="G19" s="38" t="str">
        <f t="shared" si="3"/>
        <v>No data</v>
      </c>
    </row>
    <row r="20" spans="1:7" ht="42.6" customHeight="1" x14ac:dyDescent="0.3">
      <c r="A20" s="39">
        <f t="shared" si="0"/>
        <v>19</v>
      </c>
      <c r="B20" s="47" t="s">
        <v>93</v>
      </c>
      <c r="C20" s="47">
        <v>4891</v>
      </c>
      <c r="D20" s="47"/>
      <c r="E20" s="43" t="str">
        <f t="shared" si="1"/>
        <v/>
      </c>
      <c r="F20" s="44" t="str">
        <f t="shared" si="2"/>
        <v/>
      </c>
      <c r="G20" s="38" t="str">
        <f t="shared" si="3"/>
        <v>No data</v>
      </c>
    </row>
    <row r="21" spans="1:7" ht="42.6" customHeight="1" x14ac:dyDescent="0.3">
      <c r="A21" s="39">
        <f t="shared" si="0"/>
        <v>20</v>
      </c>
      <c r="B21" s="47" t="s">
        <v>94</v>
      </c>
      <c r="C21" s="47">
        <v>4150</v>
      </c>
      <c r="D21" s="47"/>
      <c r="E21" s="43" t="str">
        <f t="shared" si="1"/>
        <v/>
      </c>
      <c r="F21" s="44" t="str">
        <f t="shared" si="2"/>
        <v/>
      </c>
      <c r="G21" s="38" t="str">
        <f t="shared" si="3"/>
        <v>No data</v>
      </c>
    </row>
    <row r="22" spans="1:7" ht="42.6" customHeight="1" x14ac:dyDescent="0.3">
      <c r="A22" s="39">
        <f t="shared" si="0"/>
        <v>21</v>
      </c>
      <c r="B22" s="47" t="s">
        <v>96</v>
      </c>
      <c r="C22" s="47">
        <v>2363</v>
      </c>
      <c r="D22" s="47"/>
      <c r="E22" s="43" t="str">
        <f t="shared" si="1"/>
        <v/>
      </c>
      <c r="F22" s="44" t="str">
        <f t="shared" si="2"/>
        <v/>
      </c>
      <c r="G22" s="38" t="str">
        <f t="shared" si="3"/>
        <v>No data</v>
      </c>
    </row>
    <row r="23" spans="1:7" ht="42.6" customHeight="1" x14ac:dyDescent="0.3">
      <c r="A23" s="39">
        <f t="shared" si="0"/>
        <v>22</v>
      </c>
      <c r="B23" s="47" t="s">
        <v>97</v>
      </c>
      <c r="C23" s="47">
        <v>7000</v>
      </c>
      <c r="D23" s="47"/>
      <c r="E23" s="43" t="str">
        <f t="shared" si="1"/>
        <v/>
      </c>
      <c r="F23" s="44" t="str">
        <f t="shared" si="2"/>
        <v/>
      </c>
      <c r="G23" s="38" t="str">
        <f t="shared" si="3"/>
        <v>No data</v>
      </c>
    </row>
    <row r="24" spans="1:7" ht="42.6" customHeight="1" x14ac:dyDescent="0.3">
      <c r="A24" s="39">
        <f t="shared" si="0"/>
        <v>23</v>
      </c>
      <c r="B24" s="47" t="s">
        <v>99</v>
      </c>
      <c r="C24" s="47">
        <v>2380</v>
      </c>
      <c r="D24" s="47"/>
      <c r="E24" s="43" t="str">
        <f t="shared" si="1"/>
        <v/>
      </c>
      <c r="F24" s="44" t="str">
        <f t="shared" si="2"/>
        <v/>
      </c>
      <c r="G24" s="38" t="str">
        <f t="shared" si="3"/>
        <v>No data</v>
      </c>
    </row>
    <row r="25" spans="1:7" ht="42.6" customHeight="1" x14ac:dyDescent="0.3">
      <c r="A25" s="39">
        <f t="shared" si="0"/>
        <v>24</v>
      </c>
      <c r="B25" s="47" t="s">
        <v>100</v>
      </c>
      <c r="C25" s="47">
        <v>2751</v>
      </c>
      <c r="D25" s="47"/>
      <c r="E25" s="43" t="str">
        <f t="shared" si="1"/>
        <v/>
      </c>
      <c r="F25" s="44" t="str">
        <f t="shared" si="2"/>
        <v/>
      </c>
      <c r="G25" s="38" t="str">
        <f t="shared" si="3"/>
        <v>No data</v>
      </c>
    </row>
    <row r="26" spans="1:7" ht="42.6" customHeight="1" x14ac:dyDescent="0.3">
      <c r="A26" s="39">
        <f t="shared" si="0"/>
        <v>25</v>
      </c>
      <c r="B26" s="47" t="s">
        <v>103</v>
      </c>
      <c r="C26" s="47">
        <v>2800</v>
      </c>
      <c r="D26" s="47"/>
      <c r="E26" s="43" t="str">
        <f t="shared" si="1"/>
        <v/>
      </c>
      <c r="F26" s="44" t="str">
        <f t="shared" si="2"/>
        <v/>
      </c>
      <c r="G26" s="38" t="str">
        <f t="shared" si="3"/>
        <v>No data</v>
      </c>
    </row>
    <row r="27" spans="1:7" ht="42.6" customHeight="1" x14ac:dyDescent="0.3">
      <c r="A27" s="39">
        <f t="shared" si="0"/>
        <v>26</v>
      </c>
      <c r="B27" s="47" t="s">
        <v>105</v>
      </c>
      <c r="C27" s="47"/>
      <c r="D27" s="47"/>
      <c r="E27" s="43" t="str">
        <f t="shared" si="1"/>
        <v/>
      </c>
      <c r="F27" s="44" t="str">
        <f t="shared" si="2"/>
        <v/>
      </c>
      <c r="G27" s="38" t="str">
        <f t="shared" si="3"/>
        <v>No data</v>
      </c>
    </row>
    <row r="28" spans="1:7" ht="42.6" customHeight="1" x14ac:dyDescent="0.3">
      <c r="A28" s="39">
        <f t="shared" si="0"/>
        <v>27</v>
      </c>
      <c r="B28" s="47" t="s">
        <v>107</v>
      </c>
      <c r="C28" s="47">
        <v>9480</v>
      </c>
      <c r="D28" s="47"/>
      <c r="E28" s="43" t="str">
        <f t="shared" si="1"/>
        <v/>
      </c>
      <c r="F28" s="44" t="str">
        <f t="shared" si="2"/>
        <v/>
      </c>
      <c r="G28" s="38" t="str">
        <f t="shared" si="3"/>
        <v>No data</v>
      </c>
    </row>
    <row r="29" spans="1:7" ht="42.6" customHeight="1" x14ac:dyDescent="0.3">
      <c r="A29" s="39">
        <f t="shared" si="0"/>
        <v>28</v>
      </c>
      <c r="B29" s="47" t="s">
        <v>110</v>
      </c>
      <c r="C29" s="47">
        <v>4800</v>
      </c>
      <c r="D29" s="47"/>
      <c r="E29" s="43" t="str">
        <f t="shared" si="1"/>
        <v/>
      </c>
      <c r="F29" s="44" t="str">
        <f t="shared" si="2"/>
        <v/>
      </c>
      <c r="G29" s="38" t="str">
        <f t="shared" si="3"/>
        <v>No data</v>
      </c>
    </row>
    <row r="30" spans="1:7" ht="42.6" customHeight="1" x14ac:dyDescent="0.3">
      <c r="A30" s="39">
        <f t="shared" si="0"/>
        <v>29</v>
      </c>
      <c r="B30" s="47" t="s">
        <v>111</v>
      </c>
      <c r="C30" s="47">
        <v>4245</v>
      </c>
      <c r="D30" s="47"/>
      <c r="E30" s="43" t="str">
        <f t="shared" si="1"/>
        <v/>
      </c>
      <c r="F30" s="44" t="str">
        <f t="shared" si="2"/>
        <v/>
      </c>
      <c r="G30" s="38" t="str">
        <f t="shared" si="3"/>
        <v>No data</v>
      </c>
    </row>
    <row r="31" spans="1:7" ht="42.6" customHeight="1" x14ac:dyDescent="0.3">
      <c r="A31" s="39">
        <f t="shared" si="0"/>
        <v>30</v>
      </c>
      <c r="B31" s="28" t="s">
        <v>84</v>
      </c>
      <c r="C31" s="47">
        <v>1100</v>
      </c>
      <c r="D31" s="47"/>
      <c r="E31" s="43" t="str">
        <f t="shared" si="1"/>
        <v/>
      </c>
      <c r="F31" s="44" t="str">
        <f t="shared" si="2"/>
        <v/>
      </c>
      <c r="G31" s="38" t="str">
        <f t="shared" si="3"/>
        <v>No data</v>
      </c>
    </row>
    <row r="32" spans="1:7" ht="42.6" customHeight="1" x14ac:dyDescent="0.3">
      <c r="A32" s="39">
        <f t="shared" si="0"/>
        <v>31</v>
      </c>
      <c r="B32" s="28" t="s">
        <v>113</v>
      </c>
      <c r="C32" s="47">
        <v>3002</v>
      </c>
      <c r="D32" s="47"/>
      <c r="E32" s="43" t="str">
        <f t="shared" si="1"/>
        <v/>
      </c>
      <c r="F32" s="44" t="str">
        <f t="shared" si="2"/>
        <v/>
      </c>
      <c r="G32" s="38" t="str">
        <f t="shared" si="3"/>
        <v>No data</v>
      </c>
    </row>
    <row r="33" spans="1:7" ht="42.6" customHeight="1" x14ac:dyDescent="0.3">
      <c r="A33" s="39">
        <f t="shared" si="0"/>
        <v>32</v>
      </c>
      <c r="B33" s="28" t="s">
        <v>115</v>
      </c>
      <c r="C33" s="47">
        <v>4200</v>
      </c>
      <c r="D33" s="47"/>
      <c r="E33" s="43" t="str">
        <f t="shared" si="1"/>
        <v/>
      </c>
      <c r="F33" s="44" t="str">
        <f t="shared" si="2"/>
        <v/>
      </c>
      <c r="G33" s="38" t="str">
        <f t="shared" si="3"/>
        <v>No data</v>
      </c>
    </row>
    <row r="34" spans="1:7" ht="42.6" customHeight="1" x14ac:dyDescent="0.3">
      <c r="A34" s="39">
        <f t="shared" si="0"/>
        <v>33</v>
      </c>
      <c r="B34" s="28" t="s">
        <v>116</v>
      </c>
      <c r="C34" s="47">
        <v>2800</v>
      </c>
      <c r="D34" s="47"/>
      <c r="E34" s="43" t="str">
        <f t="shared" si="1"/>
        <v/>
      </c>
      <c r="F34" s="44" t="str">
        <f t="shared" si="2"/>
        <v/>
      </c>
      <c r="G34" s="38" t="str">
        <f t="shared" si="3"/>
        <v>No data</v>
      </c>
    </row>
    <row r="35" spans="1:7" ht="42.6" customHeight="1" x14ac:dyDescent="0.3">
      <c r="A35" s="39">
        <f t="shared" si="0"/>
        <v>34</v>
      </c>
      <c r="B35" s="28" t="s">
        <v>117</v>
      </c>
      <c r="C35" s="47">
        <v>8300</v>
      </c>
      <c r="D35" s="47"/>
      <c r="E35" s="43" t="str">
        <f t="shared" si="1"/>
        <v/>
      </c>
      <c r="F35" s="44" t="str">
        <f t="shared" si="2"/>
        <v/>
      </c>
      <c r="G35" s="38" t="str">
        <f t="shared" si="3"/>
        <v>No data</v>
      </c>
    </row>
    <row r="36" spans="1:7" ht="42.6" customHeight="1" x14ac:dyDescent="0.3">
      <c r="A36" s="39">
        <f t="shared" si="0"/>
        <v>35</v>
      </c>
      <c r="B36" s="28" t="s">
        <v>283</v>
      </c>
      <c r="C36" s="47">
        <v>1565</v>
      </c>
      <c r="D36" s="47">
        <v>2205</v>
      </c>
      <c r="E36" s="43">
        <f t="shared" si="1"/>
        <v>70.975056689342409</v>
      </c>
      <c r="F36" s="44">
        <f t="shared" si="2"/>
        <v>0.27437641723356021</v>
      </c>
      <c r="G36" s="38" t="str">
        <f t="shared" si="3"/>
        <v>Partially compliant – coverage improving toward full</v>
      </c>
    </row>
    <row r="37" spans="1:7" ht="42.6" customHeight="1" x14ac:dyDescent="0.3">
      <c r="A37" s="39">
        <f t="shared" si="0"/>
        <v>36</v>
      </c>
      <c r="B37" s="28" t="s">
        <v>291</v>
      </c>
      <c r="C37" s="47">
        <v>2997</v>
      </c>
      <c r="D37" s="47">
        <v>2997</v>
      </c>
      <c r="E37" s="43">
        <f t="shared" si="1"/>
        <v>100</v>
      </c>
      <c r="F37" s="44">
        <f t="shared" si="2"/>
        <v>1</v>
      </c>
      <c r="G37" s="38" t="str">
        <f t="shared" si="3"/>
        <v>Fully compliant – universal functional metering achieved</v>
      </c>
    </row>
    <row r="38" spans="1:7" ht="42.6" customHeight="1" x14ac:dyDescent="0.3">
      <c r="A38" s="39">
        <f t="shared" si="0"/>
        <v>37</v>
      </c>
      <c r="B38" s="28" t="s">
        <v>296</v>
      </c>
      <c r="C38" s="47">
        <v>2100</v>
      </c>
      <c r="D38" s="47">
        <v>2100</v>
      </c>
      <c r="E38" s="43">
        <f t="shared" si="1"/>
        <v>100</v>
      </c>
      <c r="F38" s="44">
        <f t="shared" si="2"/>
        <v>1</v>
      </c>
      <c r="G38" s="38" t="str">
        <f t="shared" si="3"/>
        <v>Fully compliant – universal functional metering achieved</v>
      </c>
    </row>
    <row r="39" spans="1:7" ht="42.6" customHeight="1" x14ac:dyDescent="0.3">
      <c r="A39" s="39">
        <f t="shared" si="0"/>
        <v>38</v>
      </c>
      <c r="B39" s="28" t="s">
        <v>297</v>
      </c>
      <c r="C39" s="47">
        <v>4400</v>
      </c>
      <c r="D39" s="47">
        <v>4400</v>
      </c>
      <c r="E39" s="43">
        <f t="shared" si="1"/>
        <v>100</v>
      </c>
      <c r="F39" s="44">
        <f t="shared" si="2"/>
        <v>1</v>
      </c>
      <c r="G39" s="38" t="str">
        <f t="shared" si="3"/>
        <v>Fully compliant – universal functional metering achieved</v>
      </c>
    </row>
    <row r="40" spans="1:7" ht="42.6" customHeight="1" x14ac:dyDescent="0.3">
      <c r="A40" s="39">
        <f t="shared" si="0"/>
        <v>39</v>
      </c>
      <c r="B40" s="28" t="s">
        <v>300</v>
      </c>
      <c r="C40" s="47">
        <v>3750</v>
      </c>
      <c r="D40" s="47">
        <v>3750</v>
      </c>
      <c r="E40" s="43">
        <f t="shared" si="1"/>
        <v>100</v>
      </c>
      <c r="F40" s="44">
        <f t="shared" si="2"/>
        <v>1</v>
      </c>
      <c r="G40" s="38" t="str">
        <f t="shared" si="3"/>
        <v>Fully compliant – universal functional metering achieved</v>
      </c>
    </row>
    <row r="41" spans="1:7" ht="42.6" customHeight="1" x14ac:dyDescent="0.3">
      <c r="A41" s="39">
        <f t="shared" si="0"/>
        <v>40</v>
      </c>
      <c r="B41" s="28" t="s">
        <v>307</v>
      </c>
      <c r="C41" s="47">
        <v>2350</v>
      </c>
      <c r="D41" s="47">
        <v>2500</v>
      </c>
      <c r="E41" s="43">
        <f t="shared" si="1"/>
        <v>94</v>
      </c>
      <c r="F41" s="44">
        <f t="shared" si="2"/>
        <v>0.85</v>
      </c>
      <c r="G41" s="38" t="str">
        <f t="shared" si="3"/>
        <v>Partially compliant – coverage improving toward full</v>
      </c>
    </row>
    <row r="42" spans="1:7" ht="42.6" customHeight="1" x14ac:dyDescent="0.3">
      <c r="A42" s="39">
        <f t="shared" si="0"/>
        <v>41</v>
      </c>
      <c r="B42" s="28" t="s">
        <v>308</v>
      </c>
      <c r="C42" s="47">
        <v>1100</v>
      </c>
      <c r="D42" s="47">
        <v>1100</v>
      </c>
      <c r="E42" s="43">
        <f t="shared" si="1"/>
        <v>100</v>
      </c>
      <c r="F42" s="44">
        <f t="shared" si="2"/>
        <v>1</v>
      </c>
      <c r="G42" s="38" t="str">
        <f t="shared" si="3"/>
        <v>Fully compliant – universal functional metering achieved</v>
      </c>
    </row>
    <row r="43" spans="1:7" ht="42.6" customHeight="1" x14ac:dyDescent="0.3">
      <c r="A43" s="39">
        <f t="shared" si="0"/>
        <v>42</v>
      </c>
      <c r="B43" s="28" t="s">
        <v>311</v>
      </c>
      <c r="C43" s="47"/>
      <c r="D43" s="47"/>
      <c r="E43" s="43"/>
      <c r="F43" s="44"/>
      <c r="G43" s="38"/>
    </row>
    <row r="44" spans="1:7" ht="42.6" customHeight="1" x14ac:dyDescent="0.3">
      <c r="A44" s="39">
        <f t="shared" si="0"/>
        <v>43</v>
      </c>
      <c r="B44" s="28" t="s">
        <v>315</v>
      </c>
      <c r="C44" s="47">
        <v>2390</v>
      </c>
      <c r="D44" s="47">
        <v>2440</v>
      </c>
      <c r="E44" s="43">
        <f t="shared" si="1"/>
        <v>97.950819672131146</v>
      </c>
      <c r="F44" s="44">
        <f t="shared" si="2"/>
        <v>0.94877049180327866</v>
      </c>
      <c r="G44" s="38" t="str">
        <f t="shared" si="3"/>
        <v>Partially compliant – coverage improving toward full</v>
      </c>
    </row>
    <row r="45" spans="1:7" ht="42.6" customHeight="1" x14ac:dyDescent="0.3">
      <c r="A45" s="39">
        <f t="shared" si="0"/>
        <v>44</v>
      </c>
      <c r="B45" s="28" t="s">
        <v>319</v>
      </c>
      <c r="C45" s="47">
        <v>411</v>
      </c>
      <c r="D45" s="47">
        <v>411</v>
      </c>
      <c r="E45" s="43">
        <f t="shared" si="1"/>
        <v>100</v>
      </c>
      <c r="F45" s="44">
        <f t="shared" si="2"/>
        <v>1</v>
      </c>
      <c r="G45" s="38" t="str">
        <f t="shared" si="3"/>
        <v>Fully compliant – universal functional metering achieved</v>
      </c>
    </row>
    <row r="46" spans="1:7" ht="42.6" customHeight="1" x14ac:dyDescent="0.3">
      <c r="A46" s="39">
        <f t="shared" si="0"/>
        <v>45</v>
      </c>
      <c r="B46" s="28" t="s">
        <v>322</v>
      </c>
      <c r="C46" s="47">
        <v>720</v>
      </c>
      <c r="D46" s="47">
        <v>720</v>
      </c>
      <c r="E46" s="43">
        <f t="shared" si="1"/>
        <v>100</v>
      </c>
      <c r="F46" s="44">
        <f t="shared" si="2"/>
        <v>1</v>
      </c>
      <c r="G46" s="38" t="str">
        <f t="shared" si="3"/>
        <v>Fully compliant – universal functional metering achieved</v>
      </c>
    </row>
    <row r="47" spans="1:7" ht="42.6" customHeight="1" x14ac:dyDescent="0.3">
      <c r="A47" s="39">
        <f t="shared" si="0"/>
        <v>46</v>
      </c>
      <c r="B47" s="28" t="s">
        <v>326</v>
      </c>
      <c r="C47" s="47">
        <v>151</v>
      </c>
      <c r="D47" s="47">
        <v>151</v>
      </c>
      <c r="E47" s="43">
        <f t="shared" si="1"/>
        <v>100</v>
      </c>
      <c r="F47" s="44">
        <f t="shared" si="2"/>
        <v>1</v>
      </c>
      <c r="G47" s="38" t="str">
        <f t="shared" si="3"/>
        <v>Fully compliant – universal functional metering achieved</v>
      </c>
    </row>
    <row r="48" spans="1:7" ht="42.6" customHeight="1" x14ac:dyDescent="0.3">
      <c r="A48" s="39">
        <f t="shared" si="0"/>
        <v>47</v>
      </c>
      <c r="B48" s="28" t="s">
        <v>327</v>
      </c>
      <c r="C48" s="47">
        <v>77</v>
      </c>
      <c r="D48" s="47">
        <v>77</v>
      </c>
      <c r="E48" s="43">
        <f t="shared" si="1"/>
        <v>100</v>
      </c>
      <c r="F48" s="44">
        <f t="shared" si="2"/>
        <v>1</v>
      </c>
      <c r="G48" s="38" t="str">
        <f t="shared" si="3"/>
        <v>Fully compliant – universal functional metering achieved</v>
      </c>
    </row>
    <row r="49" spans="1:7" ht="42.6" customHeight="1" x14ac:dyDescent="0.3">
      <c r="A49" s="39">
        <f t="shared" si="0"/>
        <v>48</v>
      </c>
      <c r="B49" s="28" t="s">
        <v>330</v>
      </c>
      <c r="C49" s="47">
        <v>17589</v>
      </c>
      <c r="D49" s="47">
        <v>17703</v>
      </c>
      <c r="E49" s="43">
        <f t="shared" si="1"/>
        <v>99.35604134892391</v>
      </c>
      <c r="F49" s="44">
        <f t="shared" si="2"/>
        <v>0.98390103372309778</v>
      </c>
      <c r="G49" s="38" t="str">
        <f t="shared" si="3"/>
        <v>Partially compliant – coverage improving toward full</v>
      </c>
    </row>
    <row r="50" spans="1:7" ht="42.6" customHeight="1" x14ac:dyDescent="0.3">
      <c r="A50" s="39">
        <f t="shared" si="0"/>
        <v>49</v>
      </c>
      <c r="B50" s="28" t="str">
        <f>Spatial!B50</f>
        <v>Waling_WSUC</v>
      </c>
      <c r="C50" s="47">
        <v>3064</v>
      </c>
      <c r="D50" s="47">
        <v>3130</v>
      </c>
      <c r="E50" s="43">
        <f t="shared" si="1"/>
        <v>97.891373801916941</v>
      </c>
      <c r="F50" s="44">
        <f t="shared" si="2"/>
        <v>0.94728434504792358</v>
      </c>
      <c r="G50" s="38" t="str">
        <f t="shared" si="3"/>
        <v>Partially compliant – coverage improving toward full</v>
      </c>
    </row>
    <row r="51" spans="1:7" ht="42.6" customHeight="1" x14ac:dyDescent="0.3">
      <c r="A51" s="39">
        <f t="shared" si="0"/>
        <v>50</v>
      </c>
      <c r="B51" s="28" t="str">
        <f>Spatial!B51</f>
        <v>Baglung_WSUC</v>
      </c>
      <c r="C51" s="47">
        <v>4250</v>
      </c>
      <c r="D51" s="47">
        <v>4250</v>
      </c>
      <c r="E51" s="43">
        <f t="shared" si="1"/>
        <v>100</v>
      </c>
      <c r="F51" s="44">
        <f t="shared" si="2"/>
        <v>1</v>
      </c>
      <c r="G51" s="38" t="str">
        <f t="shared" si="3"/>
        <v>Fully compliant – universal functional metering achieved</v>
      </c>
    </row>
    <row r="52" spans="1:7" ht="42.6" customHeight="1" x14ac:dyDescent="0.3">
      <c r="A52" s="39">
        <f t="shared" si="0"/>
        <v>51</v>
      </c>
      <c r="C52" s="47"/>
      <c r="D52" s="47"/>
      <c r="E52" s="43" t="str">
        <f t="shared" si="1"/>
        <v/>
      </c>
      <c r="F52" s="44" t="str">
        <f t="shared" si="2"/>
        <v/>
      </c>
      <c r="G52" s="38" t="str">
        <f t="shared" si="3"/>
        <v>No data</v>
      </c>
    </row>
    <row r="53" spans="1:7" ht="42.6" customHeight="1" x14ac:dyDescent="0.3">
      <c r="A53" s="39">
        <f t="shared" si="0"/>
        <v>52</v>
      </c>
      <c r="C53" s="47"/>
      <c r="D53" s="47"/>
      <c r="E53" s="43" t="str">
        <f t="shared" si="1"/>
        <v/>
      </c>
      <c r="F53" s="44" t="str">
        <f t="shared" si="2"/>
        <v/>
      </c>
      <c r="G53" s="38" t="str">
        <f t="shared" si="3"/>
        <v>No data</v>
      </c>
    </row>
    <row r="54" spans="1:7" ht="42.6" customHeight="1" x14ac:dyDescent="0.3">
      <c r="A54" s="39">
        <f t="shared" si="0"/>
        <v>53</v>
      </c>
      <c r="C54" s="47"/>
      <c r="D54" s="47"/>
      <c r="E54" s="43" t="str">
        <f t="shared" si="1"/>
        <v/>
      </c>
      <c r="F54" s="44" t="str">
        <f t="shared" si="2"/>
        <v/>
      </c>
      <c r="G54" s="38" t="str">
        <f t="shared" si="3"/>
        <v>No data</v>
      </c>
    </row>
    <row r="55" spans="1:7" ht="42.6" customHeight="1" x14ac:dyDescent="0.3">
      <c r="A55" s="39">
        <f t="shared" si="0"/>
        <v>54</v>
      </c>
      <c r="C55" s="47"/>
      <c r="D55" s="47"/>
      <c r="E55" s="43" t="str">
        <f t="shared" si="1"/>
        <v/>
      </c>
      <c r="F55" s="44" t="str">
        <f t="shared" si="2"/>
        <v/>
      </c>
      <c r="G55" s="38" t="str">
        <f t="shared" si="3"/>
        <v>No data</v>
      </c>
    </row>
    <row r="56" spans="1:7" ht="42.6" customHeight="1" x14ac:dyDescent="0.3">
      <c r="A56" s="39">
        <f t="shared" si="0"/>
        <v>55</v>
      </c>
      <c r="C56" s="47"/>
      <c r="D56" s="47"/>
      <c r="E56" s="43" t="str">
        <f t="shared" si="1"/>
        <v/>
      </c>
      <c r="F56" s="44" t="str">
        <f t="shared" si="2"/>
        <v/>
      </c>
      <c r="G56" s="38" t="str">
        <f t="shared" si="3"/>
        <v>No data</v>
      </c>
    </row>
    <row r="57" spans="1:7" ht="42.6" customHeight="1" x14ac:dyDescent="0.3">
      <c r="A57" s="39">
        <f t="shared" si="0"/>
        <v>56</v>
      </c>
      <c r="C57" s="47"/>
      <c r="D57" s="47"/>
      <c r="E57" s="43" t="str">
        <f t="shared" si="1"/>
        <v/>
      </c>
      <c r="F57" s="44" t="str">
        <f t="shared" si="2"/>
        <v/>
      </c>
      <c r="G57" s="38" t="str">
        <f t="shared" si="3"/>
        <v>No data</v>
      </c>
    </row>
    <row r="58" spans="1:7" ht="42.6" customHeight="1" x14ac:dyDescent="0.3">
      <c r="A58" s="39">
        <f t="shared" si="0"/>
        <v>57</v>
      </c>
      <c r="C58" s="47"/>
      <c r="D58" s="47"/>
      <c r="E58" s="43" t="str">
        <f t="shared" si="1"/>
        <v/>
      </c>
      <c r="F58" s="44" t="str">
        <f t="shared" si="2"/>
        <v/>
      </c>
      <c r="G58" s="38" t="str">
        <f t="shared" si="3"/>
        <v>No data</v>
      </c>
    </row>
    <row r="59" spans="1:7" ht="42.6" customHeight="1" x14ac:dyDescent="0.3">
      <c r="A59" s="39">
        <f t="shared" si="0"/>
        <v>58</v>
      </c>
      <c r="C59" s="47"/>
      <c r="D59" s="47"/>
      <c r="E59" s="43" t="str">
        <f t="shared" si="1"/>
        <v/>
      </c>
      <c r="F59" s="44" t="str">
        <f t="shared" si="2"/>
        <v/>
      </c>
      <c r="G59" s="38" t="str">
        <f t="shared" si="3"/>
        <v>No data</v>
      </c>
    </row>
    <row r="60" spans="1:7" ht="42.6" customHeight="1" x14ac:dyDescent="0.3">
      <c r="A60" s="39">
        <f t="shared" si="0"/>
        <v>59</v>
      </c>
      <c r="C60" s="47"/>
      <c r="D60" s="47"/>
      <c r="E60" s="43" t="str">
        <f t="shared" si="1"/>
        <v/>
      </c>
      <c r="F60" s="44" t="str">
        <f t="shared" si="2"/>
        <v/>
      </c>
      <c r="G60" s="38" t="str">
        <f t="shared" si="3"/>
        <v>No data</v>
      </c>
    </row>
    <row r="61" spans="1:7" ht="42.6" customHeight="1" x14ac:dyDescent="0.3">
      <c r="A61" s="39">
        <f t="shared" si="0"/>
        <v>60</v>
      </c>
      <c r="C61" s="47"/>
      <c r="D61" s="47"/>
      <c r="E61" s="43" t="str">
        <f t="shared" si="1"/>
        <v/>
      </c>
      <c r="F61" s="44" t="str">
        <f t="shared" si="2"/>
        <v/>
      </c>
      <c r="G61" s="38" t="str">
        <f t="shared" si="3"/>
        <v>No data</v>
      </c>
    </row>
    <row r="62" spans="1:7" ht="42.6" customHeight="1" x14ac:dyDescent="0.3">
      <c r="A62" s="39">
        <f t="shared" si="0"/>
        <v>61</v>
      </c>
      <c r="C62" s="47"/>
      <c r="D62" s="47"/>
      <c r="E62" s="43" t="str">
        <f t="shared" si="1"/>
        <v/>
      </c>
      <c r="F62" s="44" t="str">
        <f t="shared" si="2"/>
        <v/>
      </c>
      <c r="G62" s="38" t="str">
        <f t="shared" si="3"/>
        <v>No data</v>
      </c>
    </row>
    <row r="63" spans="1:7" ht="42.6" customHeight="1" x14ac:dyDescent="0.3">
      <c r="A63" s="39">
        <f t="shared" si="0"/>
        <v>62</v>
      </c>
      <c r="C63" s="47"/>
      <c r="D63" s="47"/>
      <c r="E63" s="43" t="str">
        <f t="shared" si="1"/>
        <v/>
      </c>
      <c r="F63" s="44" t="str">
        <f t="shared" si="2"/>
        <v/>
      </c>
      <c r="G63" s="38" t="str">
        <f t="shared" si="3"/>
        <v>No data</v>
      </c>
    </row>
    <row r="64" spans="1:7" ht="42.6" customHeight="1" x14ac:dyDescent="0.3">
      <c r="A64" s="39">
        <f t="shared" si="0"/>
        <v>63</v>
      </c>
      <c r="C64" s="47"/>
      <c r="D64" s="47"/>
      <c r="E64" s="43" t="str">
        <f t="shared" si="1"/>
        <v/>
      </c>
      <c r="F64" s="44" t="str">
        <f t="shared" si="2"/>
        <v/>
      </c>
      <c r="G64" s="38" t="str">
        <f t="shared" si="3"/>
        <v>No data</v>
      </c>
    </row>
    <row r="65" spans="1:7" ht="42.6" customHeight="1" x14ac:dyDescent="0.3">
      <c r="A65" s="39">
        <f t="shared" si="0"/>
        <v>64</v>
      </c>
      <c r="C65" s="47"/>
      <c r="D65" s="47"/>
      <c r="E65" s="43" t="str">
        <f t="shared" si="1"/>
        <v/>
      </c>
      <c r="F65" s="44" t="str">
        <f t="shared" si="2"/>
        <v/>
      </c>
      <c r="G65" s="38" t="str">
        <f t="shared" si="3"/>
        <v>No data</v>
      </c>
    </row>
    <row r="66" spans="1:7" ht="42.6" customHeight="1" x14ac:dyDescent="0.3">
      <c r="A66" s="39">
        <f t="shared" si="0"/>
        <v>65</v>
      </c>
      <c r="C66" s="47"/>
      <c r="D66" s="47"/>
      <c r="E66" s="43" t="str">
        <f t="shared" si="1"/>
        <v/>
      </c>
      <c r="F66" s="44" t="str">
        <f t="shared" si="2"/>
        <v/>
      </c>
      <c r="G66" s="38" t="str">
        <f t="shared" si="3"/>
        <v>No data</v>
      </c>
    </row>
    <row r="67" spans="1:7" ht="42.6" customHeight="1" x14ac:dyDescent="0.3">
      <c r="A67" s="39">
        <f t="shared" ref="A67:A87" si="4">A66+1</f>
        <v>66</v>
      </c>
      <c r="C67" s="47"/>
      <c r="D67" s="47"/>
      <c r="E67" s="43" t="str">
        <f t="shared" si="1"/>
        <v/>
      </c>
      <c r="F67" s="44" t="str">
        <f t="shared" si="2"/>
        <v/>
      </c>
      <c r="G67" s="38" t="str">
        <f t="shared" si="3"/>
        <v>No data</v>
      </c>
    </row>
    <row r="68" spans="1:7" ht="42.6" customHeight="1" x14ac:dyDescent="0.3">
      <c r="A68" s="39">
        <f t="shared" si="4"/>
        <v>67</v>
      </c>
      <c r="C68" s="47"/>
      <c r="D68" s="47"/>
      <c r="E68" s="43" t="str">
        <f t="shared" si="1"/>
        <v/>
      </c>
      <c r="F68" s="44" t="str">
        <f t="shared" si="2"/>
        <v/>
      </c>
      <c r="G68" s="38" t="str">
        <f t="shared" si="3"/>
        <v>No data</v>
      </c>
    </row>
    <row r="69" spans="1:7" ht="42.6" customHeight="1" x14ac:dyDescent="0.3">
      <c r="A69" s="39">
        <f t="shared" si="4"/>
        <v>68</v>
      </c>
      <c r="C69" s="47"/>
      <c r="D69" s="47"/>
      <c r="E69" s="43" t="str">
        <f t="shared" si="1"/>
        <v/>
      </c>
      <c r="F69" s="44" t="str">
        <f t="shared" si="2"/>
        <v/>
      </c>
      <c r="G69" s="38" t="str">
        <f t="shared" si="3"/>
        <v>No data</v>
      </c>
    </row>
    <row r="70" spans="1:7" ht="42.6" customHeight="1" x14ac:dyDescent="0.3">
      <c r="A70" s="39">
        <f t="shared" si="4"/>
        <v>69</v>
      </c>
      <c r="C70" s="47"/>
      <c r="D70" s="47"/>
      <c r="E70" s="43" t="str">
        <f t="shared" si="1"/>
        <v/>
      </c>
      <c r="F70" s="44" t="str">
        <f t="shared" si="2"/>
        <v/>
      </c>
      <c r="G70" s="38" t="str">
        <f t="shared" si="3"/>
        <v>No data</v>
      </c>
    </row>
    <row r="71" spans="1:7" ht="42.6" customHeight="1" x14ac:dyDescent="0.3">
      <c r="A71" s="39">
        <f t="shared" si="4"/>
        <v>70</v>
      </c>
      <c r="C71" s="47"/>
      <c r="D71" s="47"/>
      <c r="E71" s="43" t="str">
        <f t="shared" ref="E71:E87" si="5">IF(OR(C71=0,D71=0),"",C71/D71*100)</f>
        <v/>
      </c>
      <c r="F71" s="44" t="str">
        <f t="shared" ref="F71:F87" si="6">IF(E71="","",IF(E71&gt;=100,1,IF(E71&lt;=60,0,(E71-60)/40)))</f>
        <v/>
      </c>
      <c r="G71" s="38" t="str">
        <f t="shared" ref="G71:G87" si="7">IF(F71="","No data",IF(F71=1,"Fully compliant – universal functional metering achieved",IF(F71=0,"Non-compliant – below minimum threshold","Partially compliant – coverage improving toward full")))</f>
        <v>No data</v>
      </c>
    </row>
    <row r="72" spans="1:7" ht="42.6" customHeight="1" x14ac:dyDescent="0.3">
      <c r="A72" s="39">
        <f t="shared" si="4"/>
        <v>71</v>
      </c>
      <c r="C72" s="47"/>
      <c r="D72" s="47"/>
      <c r="E72" s="43" t="str">
        <f t="shared" si="5"/>
        <v/>
      </c>
      <c r="F72" s="44" t="str">
        <f t="shared" si="6"/>
        <v/>
      </c>
      <c r="G72" s="38" t="str">
        <f t="shared" si="7"/>
        <v>No data</v>
      </c>
    </row>
    <row r="73" spans="1:7" ht="42.6" customHeight="1" x14ac:dyDescent="0.3">
      <c r="A73" s="39">
        <f t="shared" si="4"/>
        <v>72</v>
      </c>
      <c r="C73" s="47"/>
      <c r="D73" s="47"/>
      <c r="E73" s="43" t="str">
        <f t="shared" si="5"/>
        <v/>
      </c>
      <c r="F73" s="44" t="str">
        <f t="shared" si="6"/>
        <v/>
      </c>
      <c r="G73" s="38" t="str">
        <f t="shared" si="7"/>
        <v>No data</v>
      </c>
    </row>
    <row r="74" spans="1:7" ht="42.6" customHeight="1" x14ac:dyDescent="0.3">
      <c r="A74" s="39">
        <f t="shared" si="4"/>
        <v>73</v>
      </c>
      <c r="C74" s="47"/>
      <c r="D74" s="47"/>
      <c r="E74" s="43" t="str">
        <f t="shared" si="5"/>
        <v/>
      </c>
      <c r="F74" s="44" t="str">
        <f t="shared" si="6"/>
        <v/>
      </c>
      <c r="G74" s="38" t="str">
        <f t="shared" si="7"/>
        <v>No data</v>
      </c>
    </row>
    <row r="75" spans="1:7" ht="42.6" customHeight="1" x14ac:dyDescent="0.3">
      <c r="A75" s="39">
        <f t="shared" si="4"/>
        <v>74</v>
      </c>
      <c r="C75" s="47"/>
      <c r="D75" s="47"/>
      <c r="E75" s="43" t="str">
        <f t="shared" si="5"/>
        <v/>
      </c>
      <c r="F75" s="44" t="str">
        <f t="shared" si="6"/>
        <v/>
      </c>
      <c r="G75" s="38" t="str">
        <f t="shared" si="7"/>
        <v>No data</v>
      </c>
    </row>
    <row r="76" spans="1:7" ht="42.6" customHeight="1" x14ac:dyDescent="0.3">
      <c r="A76" s="39">
        <f t="shared" si="4"/>
        <v>75</v>
      </c>
      <c r="C76" s="47"/>
      <c r="D76" s="47"/>
      <c r="E76" s="43" t="str">
        <f t="shared" si="5"/>
        <v/>
      </c>
      <c r="F76" s="44" t="str">
        <f t="shared" si="6"/>
        <v/>
      </c>
      <c r="G76" s="38" t="str">
        <f t="shared" si="7"/>
        <v>No data</v>
      </c>
    </row>
    <row r="77" spans="1:7" ht="42.6" customHeight="1" x14ac:dyDescent="0.3">
      <c r="A77" s="39">
        <f t="shared" si="4"/>
        <v>76</v>
      </c>
      <c r="C77" s="47"/>
      <c r="D77" s="47"/>
      <c r="E77" s="43" t="str">
        <f t="shared" si="5"/>
        <v/>
      </c>
      <c r="F77" s="44" t="str">
        <f t="shared" si="6"/>
        <v/>
      </c>
      <c r="G77" s="38" t="str">
        <f t="shared" si="7"/>
        <v>No data</v>
      </c>
    </row>
    <row r="78" spans="1:7" ht="42.6" customHeight="1" x14ac:dyDescent="0.3">
      <c r="A78" s="39">
        <f t="shared" si="4"/>
        <v>77</v>
      </c>
      <c r="C78" s="47"/>
      <c r="D78" s="47"/>
      <c r="E78" s="43" t="str">
        <f t="shared" si="5"/>
        <v/>
      </c>
      <c r="F78" s="44" t="str">
        <f t="shared" si="6"/>
        <v/>
      </c>
      <c r="G78" s="38" t="str">
        <f t="shared" si="7"/>
        <v>No data</v>
      </c>
    </row>
    <row r="79" spans="1:7" ht="42.6" customHeight="1" x14ac:dyDescent="0.3">
      <c r="A79" s="39">
        <f t="shared" si="4"/>
        <v>78</v>
      </c>
      <c r="C79" s="47"/>
      <c r="D79" s="47"/>
      <c r="E79" s="43" t="str">
        <f t="shared" si="5"/>
        <v/>
      </c>
      <c r="F79" s="44" t="str">
        <f t="shared" si="6"/>
        <v/>
      </c>
      <c r="G79" s="38" t="str">
        <f t="shared" si="7"/>
        <v>No data</v>
      </c>
    </row>
    <row r="80" spans="1:7" ht="42.6" customHeight="1" x14ac:dyDescent="0.3">
      <c r="A80" s="39">
        <f t="shared" si="4"/>
        <v>79</v>
      </c>
      <c r="C80" s="47"/>
      <c r="D80" s="47"/>
      <c r="E80" s="43" t="str">
        <f t="shared" si="5"/>
        <v/>
      </c>
      <c r="F80" s="44" t="str">
        <f t="shared" si="6"/>
        <v/>
      </c>
      <c r="G80" s="38" t="str">
        <f t="shared" si="7"/>
        <v>No data</v>
      </c>
    </row>
    <row r="81" spans="1:7" ht="42.6" customHeight="1" x14ac:dyDescent="0.3">
      <c r="A81" s="39">
        <f t="shared" si="4"/>
        <v>80</v>
      </c>
      <c r="C81" s="47"/>
      <c r="D81" s="47"/>
      <c r="E81" s="43" t="str">
        <f t="shared" si="5"/>
        <v/>
      </c>
      <c r="F81" s="44" t="str">
        <f t="shared" si="6"/>
        <v/>
      </c>
      <c r="G81" s="38" t="str">
        <f t="shared" si="7"/>
        <v>No data</v>
      </c>
    </row>
    <row r="82" spans="1:7" ht="42.6" customHeight="1" x14ac:dyDescent="0.3">
      <c r="A82" s="39">
        <f t="shared" si="4"/>
        <v>81</v>
      </c>
      <c r="C82" s="47"/>
      <c r="D82" s="47"/>
      <c r="E82" s="43" t="str">
        <f t="shared" si="5"/>
        <v/>
      </c>
      <c r="F82" s="44" t="str">
        <f t="shared" si="6"/>
        <v/>
      </c>
      <c r="G82" s="38" t="str">
        <f t="shared" si="7"/>
        <v>No data</v>
      </c>
    </row>
    <row r="83" spans="1:7" ht="42.6" customHeight="1" x14ac:dyDescent="0.3">
      <c r="A83" s="39">
        <f t="shared" si="4"/>
        <v>82</v>
      </c>
      <c r="C83" s="47"/>
      <c r="D83" s="47"/>
      <c r="E83" s="43" t="str">
        <f t="shared" si="5"/>
        <v/>
      </c>
      <c r="F83" s="44" t="str">
        <f t="shared" si="6"/>
        <v/>
      </c>
      <c r="G83" s="38" t="str">
        <f t="shared" si="7"/>
        <v>No data</v>
      </c>
    </row>
    <row r="84" spans="1:7" ht="42.6" customHeight="1" x14ac:dyDescent="0.3">
      <c r="A84" s="39">
        <f t="shared" si="4"/>
        <v>83</v>
      </c>
      <c r="C84" s="47"/>
      <c r="D84" s="47"/>
      <c r="E84" s="43" t="str">
        <f t="shared" si="5"/>
        <v/>
      </c>
      <c r="F84" s="44" t="str">
        <f t="shared" si="6"/>
        <v/>
      </c>
      <c r="G84" s="38" t="str">
        <f t="shared" si="7"/>
        <v>No data</v>
      </c>
    </row>
    <row r="85" spans="1:7" ht="42.6" customHeight="1" x14ac:dyDescent="0.3">
      <c r="A85" s="39">
        <f t="shared" si="4"/>
        <v>84</v>
      </c>
      <c r="C85" s="47"/>
      <c r="D85" s="47"/>
      <c r="E85" s="43" t="str">
        <f t="shared" si="5"/>
        <v/>
      </c>
      <c r="F85" s="44" t="str">
        <f t="shared" si="6"/>
        <v/>
      </c>
      <c r="G85" s="38" t="str">
        <f t="shared" si="7"/>
        <v>No data</v>
      </c>
    </row>
    <row r="86" spans="1:7" ht="42.6" customHeight="1" x14ac:dyDescent="0.3">
      <c r="A86" s="39">
        <f t="shared" si="4"/>
        <v>85</v>
      </c>
      <c r="C86" s="47"/>
      <c r="D86" s="47"/>
      <c r="E86" s="43" t="str">
        <f t="shared" si="5"/>
        <v/>
      </c>
      <c r="F86" s="44" t="str">
        <f t="shared" si="6"/>
        <v/>
      </c>
      <c r="G86" s="38" t="str">
        <f t="shared" si="7"/>
        <v>No data</v>
      </c>
    </row>
    <row r="87" spans="1:7" ht="42.6" customHeight="1" x14ac:dyDescent="0.3">
      <c r="A87" s="39">
        <f t="shared" si="4"/>
        <v>86</v>
      </c>
      <c r="C87" s="47"/>
      <c r="D87" s="47"/>
      <c r="E87" s="43" t="str">
        <f t="shared" si="5"/>
        <v/>
      </c>
      <c r="F87" s="44" t="str">
        <f t="shared" si="6"/>
        <v/>
      </c>
      <c r="G87" s="38" t="str">
        <f t="shared" si="7"/>
        <v>No data</v>
      </c>
    </row>
  </sheetData>
  <mergeCells count="1">
    <mergeCell ref="K2:M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7"/>
  <sheetViews>
    <sheetView zoomScaleNormal="100" workbookViewId="0">
      <pane xSplit="2" topLeftCell="C1" activePane="topRight" state="frozen"/>
      <selection pane="topRight" activeCell="B59" sqref="B59"/>
    </sheetView>
  </sheetViews>
  <sheetFormatPr defaultColWidth="8.5546875" defaultRowHeight="42" customHeight="1" x14ac:dyDescent="0.3"/>
  <cols>
    <col min="1" max="1" width="19.109375" style="47" customWidth="1"/>
    <col min="2" max="2" width="23.109375" style="47" customWidth="1"/>
    <col min="3" max="3" width="24.6640625" style="47" customWidth="1"/>
    <col min="4" max="4" width="20" style="47" customWidth="1"/>
    <col min="5" max="5" width="40" style="47" customWidth="1"/>
    <col min="6" max="6" width="41.109375" style="47" customWidth="1"/>
    <col min="7" max="7" width="8.5546875" style="47"/>
    <col min="8" max="8" width="5.44140625" style="47" customWidth="1"/>
    <col min="9" max="9" width="18.6640625" style="47" customWidth="1"/>
    <col min="10" max="10" width="16.44140625" style="47" customWidth="1"/>
    <col min="11" max="11" width="19" style="47" customWidth="1"/>
    <col min="12" max="12" width="8.5546875" style="47" customWidth="1"/>
    <col min="13" max="16384" width="8.5546875" style="47"/>
  </cols>
  <sheetData>
    <row r="1" spans="1:12" ht="42" customHeight="1" x14ac:dyDescent="0.3">
      <c r="A1" s="42" t="s">
        <v>0</v>
      </c>
      <c r="B1" s="42" t="s">
        <v>1</v>
      </c>
      <c r="C1" s="42" t="s">
        <v>231</v>
      </c>
      <c r="D1" s="42" t="s">
        <v>232</v>
      </c>
      <c r="E1" s="42" t="s">
        <v>142</v>
      </c>
      <c r="F1" s="42" t="s">
        <v>126</v>
      </c>
    </row>
    <row r="2" spans="1:12" ht="42" customHeight="1" x14ac:dyDescent="0.3">
      <c r="A2" s="38">
        <v>1</v>
      </c>
      <c r="B2" s="40" t="s">
        <v>48</v>
      </c>
      <c r="C2" s="38"/>
      <c r="D2" s="38" t="s">
        <v>168</v>
      </c>
      <c r="E2" s="54" t="str">
        <f>IF(OR(C2="",D2="")," ",IF(UPPER(C2)="YES",IF(UPPER(D2)="YES",1,0),0))</f>
        <v xml:space="preserve"> </v>
      </c>
      <c r="F2" s="38" t="str">
        <f t="shared" ref="F2:F65" si="0">IF(E2="No data","No data entered",IF(UPPER(C2)&lt;&gt;"YES","NON-COMPLIANT – No log book maintained (score forced to 0)",IF(E2=1,"Fully compliant – grievance redressal mechanism exists and log book maintained","Non-compliant – grievance redressal mechanism missing")))</f>
        <v>NON-COMPLIANT – No log book maintained (score forced to 0)</v>
      </c>
      <c r="J2" s="57" t="s">
        <v>127</v>
      </c>
      <c r="K2" s="65"/>
      <c r="L2" s="65"/>
    </row>
    <row r="3" spans="1:12" ht="42" customHeight="1" x14ac:dyDescent="0.3">
      <c r="A3" s="39">
        <f t="shared" ref="A3:A34" si="1">A2+1</f>
        <v>2</v>
      </c>
      <c r="B3" s="41" t="s">
        <v>54</v>
      </c>
      <c r="C3" s="39" t="s">
        <v>60</v>
      </c>
      <c r="D3" s="39" t="s">
        <v>168</v>
      </c>
      <c r="E3" s="54">
        <f t="shared" ref="E3:E66" si="2">IF(OR(C3="",D3="")," ",IF(UPPER(C3)="YES",IF(UPPER(D3)="YES",1,0),0))</f>
        <v>0</v>
      </c>
      <c r="F3" s="39" t="str">
        <f t="shared" si="0"/>
        <v>NON-COMPLIANT – No log book maintained (score forced to 0)</v>
      </c>
      <c r="J3" s="47" t="s">
        <v>233</v>
      </c>
      <c r="K3" s="47" t="s">
        <v>129</v>
      </c>
      <c r="L3" s="47" t="s">
        <v>130</v>
      </c>
    </row>
    <row r="4" spans="1:12" ht="42" customHeight="1" x14ac:dyDescent="0.3">
      <c r="A4" s="39">
        <f t="shared" si="1"/>
        <v>3</v>
      </c>
      <c r="B4" s="40" t="s">
        <v>57</v>
      </c>
      <c r="C4" s="38"/>
      <c r="D4" s="38" t="s">
        <v>168</v>
      </c>
      <c r="E4" s="54" t="str">
        <f t="shared" si="2"/>
        <v xml:space="preserve"> </v>
      </c>
      <c r="F4" s="38" t="str">
        <f t="shared" si="0"/>
        <v>NON-COMPLIANT – No log book maintained (score forced to 0)</v>
      </c>
      <c r="J4" s="47" t="s">
        <v>234</v>
      </c>
      <c r="K4" s="47">
        <v>1</v>
      </c>
      <c r="L4" s="47" t="s">
        <v>132</v>
      </c>
    </row>
    <row r="5" spans="1:12" ht="42" customHeight="1" x14ac:dyDescent="0.3">
      <c r="A5" s="39">
        <f t="shared" si="1"/>
        <v>4</v>
      </c>
      <c r="B5" s="41" t="s">
        <v>61</v>
      </c>
      <c r="C5" s="39" t="s">
        <v>53</v>
      </c>
      <c r="D5" s="38" t="s">
        <v>168</v>
      </c>
      <c r="E5" s="54">
        <f t="shared" si="2"/>
        <v>1</v>
      </c>
      <c r="F5" s="39" t="str">
        <f t="shared" si="0"/>
        <v>Fully compliant – grievance redressal mechanism exists and log book maintained</v>
      </c>
      <c r="J5" s="47" t="s">
        <v>235</v>
      </c>
      <c r="K5" s="47">
        <v>0</v>
      </c>
      <c r="L5" s="47" t="s">
        <v>137</v>
      </c>
    </row>
    <row r="6" spans="1:12" ht="42" customHeight="1" x14ac:dyDescent="0.3">
      <c r="A6" s="39">
        <f t="shared" si="1"/>
        <v>5</v>
      </c>
      <c r="B6" s="40" t="s">
        <v>64</v>
      </c>
      <c r="C6" s="38"/>
      <c r="D6" s="38" t="s">
        <v>168</v>
      </c>
      <c r="E6" s="54" t="str">
        <f t="shared" si="2"/>
        <v xml:space="preserve"> </v>
      </c>
      <c r="F6" s="38" t="str">
        <f t="shared" si="0"/>
        <v>NON-COMPLIANT – No log book maintained (score forced to 0)</v>
      </c>
    </row>
    <row r="7" spans="1:12" ht="42" customHeight="1" x14ac:dyDescent="0.3">
      <c r="A7" s="39">
        <f t="shared" si="1"/>
        <v>6</v>
      </c>
      <c r="B7" s="47" t="s">
        <v>66</v>
      </c>
      <c r="D7" s="38" t="s">
        <v>168</v>
      </c>
      <c r="E7" s="54" t="str">
        <f t="shared" si="2"/>
        <v xml:space="preserve"> </v>
      </c>
      <c r="F7" s="38" t="str">
        <f t="shared" si="0"/>
        <v>NON-COMPLIANT – No log book maintained (score forced to 0)</v>
      </c>
    </row>
    <row r="8" spans="1:12" ht="42" customHeight="1" x14ac:dyDescent="0.3">
      <c r="A8" s="39">
        <f t="shared" si="1"/>
        <v>7</v>
      </c>
      <c r="B8" s="47" t="s">
        <v>69</v>
      </c>
      <c r="D8" s="38" t="s">
        <v>168</v>
      </c>
      <c r="E8" s="54" t="str">
        <f t="shared" si="2"/>
        <v xml:space="preserve"> </v>
      </c>
      <c r="F8" s="38" t="str">
        <f t="shared" si="0"/>
        <v>NON-COMPLIANT – No log book maintained (score forced to 0)</v>
      </c>
    </row>
    <row r="9" spans="1:12" ht="42" customHeight="1" x14ac:dyDescent="0.3">
      <c r="A9" s="39">
        <f t="shared" si="1"/>
        <v>8</v>
      </c>
      <c r="B9" s="47" t="s">
        <v>73</v>
      </c>
      <c r="D9" s="38" t="s">
        <v>168</v>
      </c>
      <c r="E9" s="54" t="str">
        <f t="shared" si="2"/>
        <v xml:space="preserve"> </v>
      </c>
      <c r="F9" s="38" t="str">
        <f t="shared" si="0"/>
        <v>NON-COMPLIANT – No log book maintained (score forced to 0)</v>
      </c>
    </row>
    <row r="10" spans="1:12" ht="42" customHeight="1" x14ac:dyDescent="0.3">
      <c r="A10" s="39">
        <f t="shared" si="1"/>
        <v>9</v>
      </c>
      <c r="B10" s="47" t="s">
        <v>75</v>
      </c>
      <c r="D10" s="38" t="s">
        <v>168</v>
      </c>
      <c r="E10" s="54" t="str">
        <f t="shared" si="2"/>
        <v xml:space="preserve"> </v>
      </c>
      <c r="F10" s="38" t="str">
        <f t="shared" si="0"/>
        <v>NON-COMPLIANT – No log book maintained (score forced to 0)</v>
      </c>
    </row>
    <row r="11" spans="1:12" ht="42" customHeight="1" x14ac:dyDescent="0.3">
      <c r="A11" s="39">
        <f t="shared" si="1"/>
        <v>10</v>
      </c>
      <c r="B11" s="47" t="s">
        <v>78</v>
      </c>
      <c r="D11" s="38" t="s">
        <v>168</v>
      </c>
      <c r="E11" s="54" t="str">
        <f t="shared" si="2"/>
        <v xml:space="preserve"> </v>
      </c>
      <c r="F11" s="38" t="str">
        <f t="shared" si="0"/>
        <v>NON-COMPLIANT – No log book maintained (score forced to 0)</v>
      </c>
    </row>
    <row r="12" spans="1:12" ht="42" customHeight="1" x14ac:dyDescent="0.3">
      <c r="A12" s="39">
        <f t="shared" si="1"/>
        <v>11</v>
      </c>
      <c r="B12" s="47" t="s">
        <v>80</v>
      </c>
      <c r="D12" s="38" t="s">
        <v>168</v>
      </c>
      <c r="E12" s="54" t="str">
        <f t="shared" si="2"/>
        <v xml:space="preserve"> </v>
      </c>
      <c r="F12" s="38" t="str">
        <f t="shared" si="0"/>
        <v>NON-COMPLIANT – No log book maintained (score forced to 0)</v>
      </c>
    </row>
    <row r="13" spans="1:12" ht="42" customHeight="1" x14ac:dyDescent="0.3">
      <c r="A13" s="39">
        <f t="shared" si="1"/>
        <v>12</v>
      </c>
      <c r="B13" s="47" t="s">
        <v>82</v>
      </c>
      <c r="D13" s="38" t="s">
        <v>168</v>
      </c>
      <c r="E13" s="54" t="str">
        <f t="shared" si="2"/>
        <v xml:space="preserve"> </v>
      </c>
      <c r="F13" s="38" t="str">
        <f t="shared" si="0"/>
        <v>NON-COMPLIANT – No log book maintained (score forced to 0)</v>
      </c>
    </row>
    <row r="14" spans="1:12" ht="42" customHeight="1" x14ac:dyDescent="0.3">
      <c r="A14" s="39">
        <f t="shared" si="1"/>
        <v>13</v>
      </c>
      <c r="B14" s="47" t="s">
        <v>84</v>
      </c>
      <c r="D14" s="38" t="s">
        <v>168</v>
      </c>
      <c r="E14" s="54" t="str">
        <f t="shared" si="2"/>
        <v xml:space="preserve"> </v>
      </c>
      <c r="F14" s="38" t="str">
        <f t="shared" si="0"/>
        <v>NON-COMPLIANT – No log book maintained (score forced to 0)</v>
      </c>
    </row>
    <row r="15" spans="1:12" ht="42" customHeight="1" x14ac:dyDescent="0.3">
      <c r="A15" s="39">
        <f t="shared" si="1"/>
        <v>14</v>
      </c>
      <c r="B15" s="47" t="s">
        <v>86</v>
      </c>
      <c r="D15" s="38" t="s">
        <v>168</v>
      </c>
      <c r="E15" s="54" t="str">
        <f t="shared" si="2"/>
        <v xml:space="preserve"> </v>
      </c>
      <c r="F15" s="38" t="str">
        <f t="shared" si="0"/>
        <v>NON-COMPLIANT – No log book maintained (score forced to 0)</v>
      </c>
    </row>
    <row r="16" spans="1:12" ht="42" customHeight="1" x14ac:dyDescent="0.3">
      <c r="A16" s="39">
        <f t="shared" si="1"/>
        <v>15</v>
      </c>
      <c r="B16" s="47" t="s">
        <v>88</v>
      </c>
      <c r="D16" s="38" t="s">
        <v>60</v>
      </c>
      <c r="E16" s="54" t="str">
        <f t="shared" si="2"/>
        <v xml:space="preserve"> </v>
      </c>
      <c r="F16" s="38" t="str">
        <f t="shared" si="0"/>
        <v>NON-COMPLIANT – No log book maintained (score forced to 0)</v>
      </c>
    </row>
    <row r="17" spans="1:6" ht="42" customHeight="1" x14ac:dyDescent="0.3">
      <c r="A17" s="39">
        <f t="shared" si="1"/>
        <v>16</v>
      </c>
      <c r="B17" s="47" t="s">
        <v>90</v>
      </c>
      <c r="D17" s="38" t="s">
        <v>60</v>
      </c>
      <c r="E17" s="54" t="str">
        <f t="shared" si="2"/>
        <v xml:space="preserve"> </v>
      </c>
      <c r="F17" s="38" t="str">
        <f t="shared" si="0"/>
        <v>NON-COMPLIANT – No log book maintained (score forced to 0)</v>
      </c>
    </row>
    <row r="18" spans="1:6" ht="42" customHeight="1" x14ac:dyDescent="0.3">
      <c r="A18" s="39">
        <f t="shared" si="1"/>
        <v>17</v>
      </c>
      <c r="B18" s="47" t="s">
        <v>91</v>
      </c>
      <c r="D18" s="38" t="s">
        <v>168</v>
      </c>
      <c r="E18" s="54" t="str">
        <f t="shared" si="2"/>
        <v xml:space="preserve"> </v>
      </c>
      <c r="F18" s="38" t="str">
        <f t="shared" si="0"/>
        <v>NON-COMPLIANT – No log book maintained (score forced to 0)</v>
      </c>
    </row>
    <row r="19" spans="1:6" ht="42" customHeight="1" x14ac:dyDescent="0.3">
      <c r="A19" s="39">
        <f t="shared" si="1"/>
        <v>18</v>
      </c>
      <c r="B19" s="47" t="s">
        <v>92</v>
      </c>
      <c r="D19" s="38" t="s">
        <v>60</v>
      </c>
      <c r="E19" s="54" t="str">
        <f t="shared" si="2"/>
        <v xml:space="preserve"> </v>
      </c>
      <c r="F19" s="38" t="str">
        <f t="shared" si="0"/>
        <v>NON-COMPLIANT – No log book maintained (score forced to 0)</v>
      </c>
    </row>
    <row r="20" spans="1:6" ht="42" customHeight="1" x14ac:dyDescent="0.3">
      <c r="A20" s="39">
        <f t="shared" si="1"/>
        <v>19</v>
      </c>
      <c r="B20" s="47" t="s">
        <v>93</v>
      </c>
      <c r="D20" s="38" t="s">
        <v>60</v>
      </c>
      <c r="E20" s="54" t="str">
        <f t="shared" si="2"/>
        <v xml:space="preserve"> </v>
      </c>
      <c r="F20" s="38" t="str">
        <f t="shared" si="0"/>
        <v>NON-COMPLIANT – No log book maintained (score forced to 0)</v>
      </c>
    </row>
    <row r="21" spans="1:6" ht="42" customHeight="1" x14ac:dyDescent="0.3">
      <c r="A21" s="39">
        <f t="shared" si="1"/>
        <v>20</v>
      </c>
      <c r="B21" s="47" t="s">
        <v>94</v>
      </c>
      <c r="D21" s="38" t="s">
        <v>60</v>
      </c>
      <c r="E21" s="54" t="str">
        <f t="shared" si="2"/>
        <v xml:space="preserve"> </v>
      </c>
      <c r="F21" s="38" t="str">
        <f t="shared" si="0"/>
        <v>NON-COMPLIANT – No log book maintained (score forced to 0)</v>
      </c>
    </row>
    <row r="22" spans="1:6" ht="42" customHeight="1" x14ac:dyDescent="0.3">
      <c r="A22" s="39">
        <f t="shared" si="1"/>
        <v>21</v>
      </c>
      <c r="B22" s="47" t="s">
        <v>96</v>
      </c>
      <c r="D22" s="38" t="s">
        <v>60</v>
      </c>
      <c r="E22" s="54" t="str">
        <f t="shared" si="2"/>
        <v xml:space="preserve"> </v>
      </c>
      <c r="F22" s="38" t="str">
        <f t="shared" si="0"/>
        <v>NON-COMPLIANT – No log book maintained (score forced to 0)</v>
      </c>
    </row>
    <row r="23" spans="1:6" ht="42" customHeight="1" x14ac:dyDescent="0.3">
      <c r="A23" s="39">
        <f t="shared" si="1"/>
        <v>22</v>
      </c>
      <c r="B23" s="47" t="s">
        <v>97</v>
      </c>
      <c r="D23" s="38" t="s">
        <v>60</v>
      </c>
      <c r="E23" s="54" t="str">
        <f t="shared" si="2"/>
        <v xml:space="preserve"> </v>
      </c>
      <c r="F23" s="38" t="str">
        <f t="shared" si="0"/>
        <v>NON-COMPLIANT – No log book maintained (score forced to 0)</v>
      </c>
    </row>
    <row r="24" spans="1:6" ht="42" customHeight="1" x14ac:dyDescent="0.3">
      <c r="A24" s="39">
        <f t="shared" si="1"/>
        <v>23</v>
      </c>
      <c r="B24" s="47" t="s">
        <v>99</v>
      </c>
      <c r="D24" s="38" t="s">
        <v>60</v>
      </c>
      <c r="E24" s="54" t="str">
        <f t="shared" si="2"/>
        <v xml:space="preserve"> </v>
      </c>
      <c r="F24" s="38" t="str">
        <f t="shared" si="0"/>
        <v>NON-COMPLIANT – No log book maintained (score forced to 0)</v>
      </c>
    </row>
    <row r="25" spans="1:6" ht="42" customHeight="1" x14ac:dyDescent="0.3">
      <c r="A25" s="39">
        <f t="shared" si="1"/>
        <v>24</v>
      </c>
      <c r="B25" s="47" t="s">
        <v>100</v>
      </c>
      <c r="D25" s="38" t="s">
        <v>168</v>
      </c>
      <c r="E25" s="54" t="str">
        <f t="shared" si="2"/>
        <v xml:space="preserve"> </v>
      </c>
      <c r="F25" s="38" t="str">
        <f t="shared" si="0"/>
        <v>NON-COMPLIANT – No log book maintained (score forced to 0)</v>
      </c>
    </row>
    <row r="26" spans="1:6" ht="42" customHeight="1" x14ac:dyDescent="0.3">
      <c r="A26" s="39">
        <f t="shared" si="1"/>
        <v>25</v>
      </c>
      <c r="B26" s="47" t="s">
        <v>103</v>
      </c>
      <c r="D26" s="38" t="s">
        <v>60</v>
      </c>
      <c r="E26" s="54" t="str">
        <f t="shared" si="2"/>
        <v xml:space="preserve"> </v>
      </c>
      <c r="F26" s="38" t="str">
        <f t="shared" si="0"/>
        <v>NON-COMPLIANT – No log book maintained (score forced to 0)</v>
      </c>
    </row>
    <row r="27" spans="1:6" ht="42" customHeight="1" x14ac:dyDescent="0.3">
      <c r="A27" s="39">
        <f t="shared" si="1"/>
        <v>26</v>
      </c>
      <c r="B27" s="47" t="s">
        <v>105</v>
      </c>
      <c r="D27" s="38" t="s">
        <v>60</v>
      </c>
      <c r="E27" s="54" t="str">
        <f t="shared" si="2"/>
        <v xml:space="preserve"> </v>
      </c>
      <c r="F27" s="38" t="str">
        <f t="shared" si="0"/>
        <v>NON-COMPLIANT – No log book maintained (score forced to 0)</v>
      </c>
    </row>
    <row r="28" spans="1:6" ht="42" customHeight="1" x14ac:dyDescent="0.3">
      <c r="A28" s="39">
        <f t="shared" si="1"/>
        <v>27</v>
      </c>
      <c r="B28" s="47" t="s">
        <v>107</v>
      </c>
      <c r="D28" s="38" t="s">
        <v>168</v>
      </c>
      <c r="E28" s="54" t="str">
        <f t="shared" si="2"/>
        <v xml:space="preserve"> </v>
      </c>
      <c r="F28" s="38" t="str">
        <f t="shared" si="0"/>
        <v>NON-COMPLIANT – No log book maintained (score forced to 0)</v>
      </c>
    </row>
    <row r="29" spans="1:6" ht="42" customHeight="1" x14ac:dyDescent="0.3">
      <c r="A29" s="39">
        <f t="shared" si="1"/>
        <v>28</v>
      </c>
      <c r="B29" s="47" t="s">
        <v>110</v>
      </c>
      <c r="D29" s="38" t="s">
        <v>168</v>
      </c>
      <c r="E29" s="54" t="str">
        <f t="shared" si="2"/>
        <v xml:space="preserve"> </v>
      </c>
      <c r="F29" s="38" t="str">
        <f t="shared" si="0"/>
        <v>NON-COMPLIANT – No log book maintained (score forced to 0)</v>
      </c>
    </row>
    <row r="30" spans="1:6" ht="42" customHeight="1" x14ac:dyDescent="0.3">
      <c r="A30" s="39">
        <f t="shared" si="1"/>
        <v>29</v>
      </c>
      <c r="B30" s="47" t="s">
        <v>111</v>
      </c>
      <c r="D30" s="38" t="s">
        <v>168</v>
      </c>
      <c r="E30" s="54" t="str">
        <f t="shared" si="2"/>
        <v xml:space="preserve"> </v>
      </c>
      <c r="F30" s="38" t="str">
        <f t="shared" si="0"/>
        <v>NON-COMPLIANT – No log book maintained (score forced to 0)</v>
      </c>
    </row>
    <row r="31" spans="1:6" ht="42" customHeight="1" x14ac:dyDescent="0.3">
      <c r="A31" s="39">
        <f t="shared" si="1"/>
        <v>30</v>
      </c>
      <c r="B31" s="47" t="s">
        <v>84</v>
      </c>
      <c r="D31" s="38" t="s">
        <v>168</v>
      </c>
      <c r="E31" s="54" t="str">
        <f t="shared" si="2"/>
        <v xml:space="preserve"> </v>
      </c>
      <c r="F31" s="38" t="str">
        <f t="shared" si="0"/>
        <v>NON-COMPLIANT – No log book maintained (score forced to 0)</v>
      </c>
    </row>
    <row r="32" spans="1:6" ht="42" customHeight="1" x14ac:dyDescent="0.3">
      <c r="A32" s="39">
        <f t="shared" si="1"/>
        <v>31</v>
      </c>
      <c r="B32" s="47" t="s">
        <v>113</v>
      </c>
      <c r="D32" s="38" t="s">
        <v>168</v>
      </c>
      <c r="E32" s="54" t="str">
        <f t="shared" si="2"/>
        <v xml:space="preserve"> </v>
      </c>
      <c r="F32" s="38" t="str">
        <f t="shared" si="0"/>
        <v>NON-COMPLIANT – No log book maintained (score forced to 0)</v>
      </c>
    </row>
    <row r="33" spans="1:6" ht="42" customHeight="1" x14ac:dyDescent="0.3">
      <c r="A33" s="39">
        <f t="shared" si="1"/>
        <v>32</v>
      </c>
      <c r="B33" s="47" t="s">
        <v>115</v>
      </c>
      <c r="D33" s="38" t="s">
        <v>168</v>
      </c>
      <c r="E33" s="54" t="str">
        <f t="shared" si="2"/>
        <v xml:space="preserve"> </v>
      </c>
      <c r="F33" s="38" t="str">
        <f t="shared" si="0"/>
        <v>NON-COMPLIANT – No log book maintained (score forced to 0)</v>
      </c>
    </row>
    <row r="34" spans="1:6" ht="42" customHeight="1" x14ac:dyDescent="0.3">
      <c r="A34" s="39">
        <f t="shared" si="1"/>
        <v>33</v>
      </c>
      <c r="B34" s="47" t="s">
        <v>116</v>
      </c>
      <c r="D34" s="38" t="s">
        <v>168</v>
      </c>
      <c r="E34" s="54" t="str">
        <f t="shared" si="2"/>
        <v xml:space="preserve"> </v>
      </c>
      <c r="F34" s="38" t="str">
        <f t="shared" si="0"/>
        <v>NON-COMPLIANT – No log book maintained (score forced to 0)</v>
      </c>
    </row>
    <row r="35" spans="1:6" ht="42" customHeight="1" x14ac:dyDescent="0.3">
      <c r="A35" s="39">
        <f>A34+1</f>
        <v>34</v>
      </c>
      <c r="B35" s="47" t="s">
        <v>117</v>
      </c>
      <c r="D35" s="38" t="s">
        <v>168</v>
      </c>
      <c r="E35" s="54" t="str">
        <f t="shared" si="2"/>
        <v xml:space="preserve"> </v>
      </c>
      <c r="F35" s="38" t="str">
        <f t="shared" si="0"/>
        <v>NON-COMPLIANT – No log book maintained (score forced to 0)</v>
      </c>
    </row>
    <row r="36" spans="1:6" ht="42" customHeight="1" x14ac:dyDescent="0.3">
      <c r="A36" s="39">
        <f>A35+1</f>
        <v>35</v>
      </c>
      <c r="B36" s="47" t="s">
        <v>283</v>
      </c>
      <c r="C36" s="47" t="s">
        <v>53</v>
      </c>
      <c r="D36" s="47" t="s">
        <v>53</v>
      </c>
      <c r="E36" s="54">
        <f t="shared" si="2"/>
        <v>1</v>
      </c>
      <c r="F36" s="47" t="str">
        <f t="shared" si="0"/>
        <v>Fully compliant – grievance redressal mechanism exists and log book maintained</v>
      </c>
    </row>
    <row r="37" spans="1:6" ht="42" customHeight="1" x14ac:dyDescent="0.3">
      <c r="A37" s="39">
        <f t="shared" ref="A37:A86" si="3">A36+1</f>
        <v>36</v>
      </c>
      <c r="B37" s="47" t="s">
        <v>291</v>
      </c>
      <c r="C37" s="47" t="s">
        <v>53</v>
      </c>
      <c r="D37" s="47" t="s">
        <v>53</v>
      </c>
      <c r="E37" s="54">
        <f t="shared" si="2"/>
        <v>1</v>
      </c>
      <c r="F37" s="47" t="str">
        <f t="shared" si="0"/>
        <v>Fully compliant – grievance redressal mechanism exists and log book maintained</v>
      </c>
    </row>
    <row r="38" spans="1:6" ht="42" customHeight="1" x14ac:dyDescent="0.3">
      <c r="A38" s="39">
        <f t="shared" si="3"/>
        <v>37</v>
      </c>
      <c r="B38" s="47" t="s">
        <v>296</v>
      </c>
      <c r="C38" s="47" t="s">
        <v>53</v>
      </c>
      <c r="D38" s="47" t="s">
        <v>53</v>
      </c>
      <c r="E38" s="54">
        <f t="shared" si="2"/>
        <v>1</v>
      </c>
      <c r="F38" s="47" t="str">
        <f t="shared" si="0"/>
        <v>Fully compliant – grievance redressal mechanism exists and log book maintained</v>
      </c>
    </row>
    <row r="39" spans="1:6" ht="42" customHeight="1" x14ac:dyDescent="0.3">
      <c r="A39" s="39">
        <f t="shared" si="3"/>
        <v>38</v>
      </c>
      <c r="B39" s="47" t="s">
        <v>297</v>
      </c>
      <c r="C39" s="47" t="s">
        <v>53</v>
      </c>
      <c r="D39" s="47" t="s">
        <v>53</v>
      </c>
      <c r="E39" s="54">
        <f t="shared" si="2"/>
        <v>1</v>
      </c>
      <c r="F39" s="47" t="str">
        <f t="shared" si="0"/>
        <v>Fully compliant – grievance redressal mechanism exists and log book maintained</v>
      </c>
    </row>
    <row r="40" spans="1:6" ht="42" customHeight="1" x14ac:dyDescent="0.3">
      <c r="A40" s="39">
        <f t="shared" si="3"/>
        <v>39</v>
      </c>
      <c r="B40" s="47" t="s">
        <v>300</v>
      </c>
      <c r="C40" s="47" t="s">
        <v>53</v>
      </c>
      <c r="D40" s="47" t="s">
        <v>53</v>
      </c>
      <c r="E40" s="54">
        <f t="shared" si="2"/>
        <v>1</v>
      </c>
      <c r="F40" s="47" t="str">
        <f t="shared" si="0"/>
        <v>Fully compliant – grievance redressal mechanism exists and log book maintained</v>
      </c>
    </row>
    <row r="41" spans="1:6" ht="42" customHeight="1" x14ac:dyDescent="0.3">
      <c r="A41" s="39">
        <f t="shared" si="3"/>
        <v>40</v>
      </c>
      <c r="B41" s="28" t="s">
        <v>306</v>
      </c>
      <c r="C41" s="28" t="s">
        <v>53</v>
      </c>
      <c r="D41" s="28" t="s">
        <v>53</v>
      </c>
      <c r="E41" s="54">
        <f t="shared" si="2"/>
        <v>1</v>
      </c>
      <c r="F41" s="47" t="str">
        <f t="shared" si="0"/>
        <v>Fully compliant – grievance redressal mechanism exists and log book maintained</v>
      </c>
    </row>
    <row r="42" spans="1:6" ht="42" customHeight="1" x14ac:dyDescent="0.3">
      <c r="A42" s="39">
        <f t="shared" si="3"/>
        <v>41</v>
      </c>
      <c r="B42" s="28" t="s">
        <v>308</v>
      </c>
      <c r="C42" s="28" t="s">
        <v>53</v>
      </c>
      <c r="D42" s="28" t="s">
        <v>53</v>
      </c>
      <c r="E42" s="54">
        <f t="shared" si="2"/>
        <v>1</v>
      </c>
      <c r="F42" s="47" t="str">
        <f t="shared" si="0"/>
        <v>Fully compliant – grievance redressal mechanism exists and log book maintained</v>
      </c>
    </row>
    <row r="43" spans="1:6" ht="42" customHeight="1" x14ac:dyDescent="0.3">
      <c r="A43" s="39">
        <f t="shared" si="3"/>
        <v>42</v>
      </c>
      <c r="B43" s="28" t="s">
        <v>311</v>
      </c>
      <c r="C43" s="28" t="s">
        <v>53</v>
      </c>
      <c r="D43" s="28" t="s">
        <v>53</v>
      </c>
      <c r="E43" s="54">
        <f t="shared" si="2"/>
        <v>1</v>
      </c>
      <c r="F43" s="47" t="str">
        <f t="shared" si="0"/>
        <v>Fully compliant – grievance redressal mechanism exists and log book maintained</v>
      </c>
    </row>
    <row r="44" spans="1:6" ht="42" customHeight="1" x14ac:dyDescent="0.3">
      <c r="A44" s="39">
        <f t="shared" si="3"/>
        <v>43</v>
      </c>
      <c r="B44" s="28" t="s">
        <v>315</v>
      </c>
      <c r="C44" s="28" t="s">
        <v>53</v>
      </c>
      <c r="D44" s="28" t="s">
        <v>53</v>
      </c>
      <c r="E44" s="54">
        <f t="shared" si="2"/>
        <v>1</v>
      </c>
      <c r="F44" s="47" t="str">
        <f t="shared" si="0"/>
        <v>Fully compliant – grievance redressal mechanism exists and log book maintained</v>
      </c>
    </row>
    <row r="45" spans="1:6" ht="42" customHeight="1" x14ac:dyDescent="0.3">
      <c r="A45" s="39">
        <f t="shared" si="3"/>
        <v>44</v>
      </c>
      <c r="B45" s="28" t="s">
        <v>319</v>
      </c>
      <c r="C45" s="28" t="s">
        <v>53</v>
      </c>
      <c r="D45" s="28" t="s">
        <v>53</v>
      </c>
      <c r="E45" s="54">
        <f t="shared" si="2"/>
        <v>1</v>
      </c>
      <c r="F45" s="47" t="str">
        <f t="shared" si="0"/>
        <v>Fully compliant – grievance redressal mechanism exists and log book maintained</v>
      </c>
    </row>
    <row r="46" spans="1:6" ht="42" customHeight="1" x14ac:dyDescent="0.3">
      <c r="A46" s="39">
        <f t="shared" si="3"/>
        <v>45</v>
      </c>
      <c r="B46" s="28" t="s">
        <v>325</v>
      </c>
      <c r="C46" s="28" t="s">
        <v>53</v>
      </c>
      <c r="D46" s="28" t="s">
        <v>53</v>
      </c>
      <c r="E46" s="54">
        <f t="shared" si="2"/>
        <v>1</v>
      </c>
      <c r="F46" s="47" t="str">
        <f t="shared" si="0"/>
        <v>Fully compliant – grievance redressal mechanism exists and log book maintained</v>
      </c>
    </row>
    <row r="47" spans="1:6" ht="42" customHeight="1" x14ac:dyDescent="0.3">
      <c r="A47" s="39">
        <f t="shared" si="3"/>
        <v>46</v>
      </c>
      <c r="B47" s="28" t="s">
        <v>326</v>
      </c>
      <c r="C47" s="28" t="s">
        <v>53</v>
      </c>
      <c r="D47" s="28" t="s">
        <v>53</v>
      </c>
      <c r="E47" s="54">
        <f t="shared" si="2"/>
        <v>1</v>
      </c>
      <c r="F47" s="47" t="str">
        <f t="shared" si="0"/>
        <v>Fully compliant – grievance redressal mechanism exists and log book maintained</v>
      </c>
    </row>
    <row r="48" spans="1:6" ht="42" customHeight="1" x14ac:dyDescent="0.3">
      <c r="A48" s="39">
        <f t="shared" si="3"/>
        <v>47</v>
      </c>
      <c r="B48" s="28" t="s">
        <v>327</v>
      </c>
      <c r="C48" s="28" t="s">
        <v>60</v>
      </c>
      <c r="D48" s="28" t="s">
        <v>53</v>
      </c>
      <c r="E48" s="54">
        <f t="shared" si="2"/>
        <v>0</v>
      </c>
      <c r="F48" s="47" t="str">
        <f t="shared" si="0"/>
        <v>NON-COMPLIANT – No log book maintained (score forced to 0)</v>
      </c>
    </row>
    <row r="49" spans="1:6" ht="42" customHeight="1" x14ac:dyDescent="0.3">
      <c r="A49" s="39">
        <f t="shared" si="3"/>
        <v>48</v>
      </c>
      <c r="B49" s="28" t="s">
        <v>330</v>
      </c>
      <c r="C49" s="28" t="s">
        <v>53</v>
      </c>
      <c r="D49" s="28" t="s">
        <v>53</v>
      </c>
      <c r="E49" s="54">
        <f t="shared" si="2"/>
        <v>1</v>
      </c>
      <c r="F49" s="47" t="str">
        <f t="shared" si="0"/>
        <v>Fully compliant – grievance redressal mechanism exists and log book maintained</v>
      </c>
    </row>
    <row r="50" spans="1:6" ht="42" customHeight="1" x14ac:dyDescent="0.3">
      <c r="A50" s="39">
        <f t="shared" si="3"/>
        <v>49</v>
      </c>
      <c r="B50" s="28" t="str">
        <f>Spatial!B50</f>
        <v>Waling_WSUC</v>
      </c>
      <c r="C50" s="28" t="s">
        <v>53</v>
      </c>
      <c r="D50" s="28" t="s">
        <v>53</v>
      </c>
      <c r="E50" s="54">
        <f t="shared" si="2"/>
        <v>1</v>
      </c>
      <c r="F50" s="47" t="str">
        <f t="shared" si="0"/>
        <v>Fully compliant – grievance redressal mechanism exists and log book maintained</v>
      </c>
    </row>
    <row r="51" spans="1:6" ht="42" customHeight="1" x14ac:dyDescent="0.3">
      <c r="A51" s="39">
        <f t="shared" si="3"/>
        <v>50</v>
      </c>
      <c r="B51" s="28" t="str">
        <f>Spatial!B51</f>
        <v>Baglung_WSUC</v>
      </c>
      <c r="C51" s="28" t="s">
        <v>53</v>
      </c>
      <c r="D51" s="28" t="s">
        <v>53</v>
      </c>
      <c r="E51" s="54">
        <f t="shared" si="2"/>
        <v>1</v>
      </c>
      <c r="F51" s="47" t="str">
        <f t="shared" si="0"/>
        <v>Fully compliant – grievance redressal mechanism exists and log book maintained</v>
      </c>
    </row>
    <row r="52" spans="1:6" ht="42" customHeight="1" x14ac:dyDescent="0.3">
      <c r="A52" s="39">
        <f t="shared" si="3"/>
        <v>51</v>
      </c>
      <c r="B52" s="28">
        <f>Spatial!B52</f>
        <v>0</v>
      </c>
      <c r="C52" s="28"/>
      <c r="D52" s="28"/>
      <c r="E52" s="54" t="str">
        <f t="shared" si="2"/>
        <v xml:space="preserve"> </v>
      </c>
      <c r="F52" s="47" t="str">
        <f t="shared" si="0"/>
        <v>NON-COMPLIANT – No log book maintained (score forced to 0)</v>
      </c>
    </row>
    <row r="53" spans="1:6" ht="42" customHeight="1" x14ac:dyDescent="0.3">
      <c r="A53" s="39">
        <f t="shared" si="3"/>
        <v>52</v>
      </c>
      <c r="B53" s="28">
        <f>Spatial!B53</f>
        <v>0</v>
      </c>
      <c r="C53" s="28"/>
      <c r="D53" s="28"/>
      <c r="E53" s="54" t="str">
        <f t="shared" si="2"/>
        <v xml:space="preserve"> </v>
      </c>
      <c r="F53" s="47" t="str">
        <f t="shared" si="0"/>
        <v>NON-COMPLIANT – No log book maintained (score forced to 0)</v>
      </c>
    </row>
    <row r="54" spans="1:6" ht="42" customHeight="1" x14ac:dyDescent="0.3">
      <c r="A54" s="39">
        <f t="shared" si="3"/>
        <v>53</v>
      </c>
      <c r="B54" s="28">
        <f>Spatial!B54</f>
        <v>0</v>
      </c>
      <c r="C54" s="28"/>
      <c r="D54" s="28"/>
      <c r="E54" s="54" t="str">
        <f t="shared" si="2"/>
        <v xml:space="preserve"> </v>
      </c>
      <c r="F54" s="47" t="str">
        <f t="shared" si="0"/>
        <v>NON-COMPLIANT – No log book maintained (score forced to 0)</v>
      </c>
    </row>
    <row r="55" spans="1:6" ht="42" customHeight="1" x14ac:dyDescent="0.3">
      <c r="A55" s="39">
        <f t="shared" si="3"/>
        <v>54</v>
      </c>
      <c r="B55" s="28">
        <f>Spatial!B55</f>
        <v>0</v>
      </c>
      <c r="C55" s="28"/>
      <c r="D55" s="28"/>
      <c r="E55" s="54" t="str">
        <f t="shared" si="2"/>
        <v xml:space="preserve"> </v>
      </c>
      <c r="F55" s="47" t="str">
        <f t="shared" si="0"/>
        <v>NON-COMPLIANT – No log book maintained (score forced to 0)</v>
      </c>
    </row>
    <row r="56" spans="1:6" ht="42" customHeight="1" x14ac:dyDescent="0.3">
      <c r="A56" s="39">
        <f t="shared" si="3"/>
        <v>55</v>
      </c>
      <c r="B56" s="28">
        <f>Spatial!B56</f>
        <v>0</v>
      </c>
      <c r="C56" s="28"/>
      <c r="D56" s="28"/>
      <c r="E56" s="54" t="str">
        <f t="shared" si="2"/>
        <v xml:space="preserve"> </v>
      </c>
      <c r="F56" s="47" t="str">
        <f t="shared" si="0"/>
        <v>NON-COMPLIANT – No log book maintained (score forced to 0)</v>
      </c>
    </row>
    <row r="57" spans="1:6" ht="42" customHeight="1" x14ac:dyDescent="0.3">
      <c r="A57" s="39">
        <f t="shared" si="3"/>
        <v>56</v>
      </c>
      <c r="B57" s="28">
        <f>Spatial!B57</f>
        <v>0</v>
      </c>
      <c r="C57" s="28"/>
      <c r="D57" s="28"/>
      <c r="E57" s="54" t="str">
        <f t="shared" si="2"/>
        <v xml:space="preserve"> </v>
      </c>
      <c r="F57" s="47" t="str">
        <f t="shared" si="0"/>
        <v>NON-COMPLIANT – No log book maintained (score forced to 0)</v>
      </c>
    </row>
    <row r="58" spans="1:6" ht="42" customHeight="1" x14ac:dyDescent="0.3">
      <c r="A58" s="39">
        <f t="shared" si="3"/>
        <v>57</v>
      </c>
      <c r="B58" s="28"/>
      <c r="C58" s="28"/>
      <c r="D58" s="28"/>
      <c r="E58" s="54" t="str">
        <f t="shared" si="2"/>
        <v xml:space="preserve"> </v>
      </c>
      <c r="F58" s="47" t="str">
        <f t="shared" si="0"/>
        <v>NON-COMPLIANT – No log book maintained (score forced to 0)</v>
      </c>
    </row>
    <row r="59" spans="1:6" ht="42" customHeight="1" x14ac:dyDescent="0.3">
      <c r="A59" s="39">
        <f t="shared" si="3"/>
        <v>58</v>
      </c>
      <c r="B59" s="28"/>
      <c r="C59" s="28"/>
      <c r="D59" s="28"/>
      <c r="E59" s="54" t="str">
        <f t="shared" si="2"/>
        <v xml:space="preserve"> </v>
      </c>
      <c r="F59" s="47" t="str">
        <f t="shared" si="0"/>
        <v>NON-COMPLIANT – No log book maintained (score forced to 0)</v>
      </c>
    </row>
    <row r="60" spans="1:6" ht="42" customHeight="1" x14ac:dyDescent="0.3">
      <c r="A60" s="39">
        <f t="shared" si="3"/>
        <v>59</v>
      </c>
      <c r="B60" s="28"/>
      <c r="C60" s="28"/>
      <c r="D60" s="28"/>
      <c r="E60" s="54" t="str">
        <f t="shared" si="2"/>
        <v xml:space="preserve"> </v>
      </c>
      <c r="F60" s="47" t="str">
        <f t="shared" si="0"/>
        <v>NON-COMPLIANT – No log book maintained (score forced to 0)</v>
      </c>
    </row>
    <row r="61" spans="1:6" ht="42" customHeight="1" x14ac:dyDescent="0.3">
      <c r="A61" s="39">
        <f t="shared" si="3"/>
        <v>60</v>
      </c>
      <c r="B61" s="28"/>
      <c r="C61" s="28"/>
      <c r="D61" s="28"/>
      <c r="E61" s="54" t="str">
        <f t="shared" si="2"/>
        <v xml:space="preserve"> </v>
      </c>
      <c r="F61" s="47" t="str">
        <f t="shared" si="0"/>
        <v>NON-COMPLIANT – No log book maintained (score forced to 0)</v>
      </c>
    </row>
    <row r="62" spans="1:6" ht="42" customHeight="1" x14ac:dyDescent="0.3">
      <c r="A62" s="39">
        <f t="shared" si="3"/>
        <v>61</v>
      </c>
      <c r="B62" s="28"/>
      <c r="C62" s="28"/>
      <c r="D62" s="28"/>
      <c r="E62" s="54" t="str">
        <f t="shared" si="2"/>
        <v xml:space="preserve"> </v>
      </c>
      <c r="F62" s="47" t="str">
        <f t="shared" si="0"/>
        <v>NON-COMPLIANT – No log book maintained (score forced to 0)</v>
      </c>
    </row>
    <row r="63" spans="1:6" ht="42" customHeight="1" x14ac:dyDescent="0.3">
      <c r="A63" s="39">
        <f t="shared" si="3"/>
        <v>62</v>
      </c>
      <c r="B63" s="28"/>
      <c r="C63" s="28"/>
      <c r="D63" s="28"/>
      <c r="E63" s="54" t="str">
        <f t="shared" si="2"/>
        <v xml:space="preserve"> </v>
      </c>
      <c r="F63" s="47" t="str">
        <f t="shared" si="0"/>
        <v>NON-COMPLIANT – No log book maintained (score forced to 0)</v>
      </c>
    </row>
    <row r="64" spans="1:6" ht="42" customHeight="1" x14ac:dyDescent="0.3">
      <c r="A64" s="39">
        <f t="shared" si="3"/>
        <v>63</v>
      </c>
      <c r="B64" s="28"/>
      <c r="C64" s="28"/>
      <c r="D64" s="28"/>
      <c r="E64" s="54" t="str">
        <f t="shared" si="2"/>
        <v xml:space="preserve"> </v>
      </c>
      <c r="F64" s="47" t="str">
        <f t="shared" si="0"/>
        <v>NON-COMPLIANT – No log book maintained (score forced to 0)</v>
      </c>
    </row>
    <row r="65" spans="1:6" ht="42" customHeight="1" x14ac:dyDescent="0.3">
      <c r="A65" s="39">
        <f t="shared" si="3"/>
        <v>64</v>
      </c>
      <c r="B65" s="28"/>
      <c r="C65" s="28"/>
      <c r="D65" s="28"/>
      <c r="E65" s="54" t="str">
        <f t="shared" si="2"/>
        <v xml:space="preserve"> </v>
      </c>
      <c r="F65" s="47" t="str">
        <f t="shared" si="0"/>
        <v>NON-COMPLIANT – No log book maintained (score forced to 0)</v>
      </c>
    </row>
    <row r="66" spans="1:6" ht="42" customHeight="1" x14ac:dyDescent="0.3">
      <c r="A66" s="39">
        <f t="shared" si="3"/>
        <v>65</v>
      </c>
      <c r="B66" s="28"/>
      <c r="C66" s="28"/>
      <c r="D66" s="28"/>
      <c r="E66" s="54" t="str">
        <f t="shared" si="2"/>
        <v xml:space="preserve"> </v>
      </c>
      <c r="F66" s="47" t="str">
        <f t="shared" ref="F66:F86" si="4">IF(E66="No data","No data entered",IF(UPPER(C66)&lt;&gt;"YES","NON-COMPLIANT – No log book maintained (score forced to 0)",IF(E66=1,"Fully compliant – grievance redressal mechanism exists and log book maintained","Non-compliant – grievance redressal mechanism missing")))</f>
        <v>NON-COMPLIANT – No log book maintained (score forced to 0)</v>
      </c>
    </row>
    <row r="67" spans="1:6" ht="42" customHeight="1" x14ac:dyDescent="0.3">
      <c r="A67" s="39">
        <f t="shared" si="3"/>
        <v>66</v>
      </c>
      <c r="B67" s="28"/>
      <c r="C67" s="28"/>
      <c r="D67" s="28"/>
      <c r="E67" s="54" t="str">
        <f t="shared" ref="E67:E86" si="5">IF(OR(C67="",D67="")," ",IF(UPPER(C67)="YES",IF(UPPER(D67)="YES",1,0),0))</f>
        <v xml:space="preserve"> </v>
      </c>
      <c r="F67" s="47" t="str">
        <f t="shared" si="4"/>
        <v>NON-COMPLIANT – No log book maintained (score forced to 0)</v>
      </c>
    </row>
    <row r="68" spans="1:6" ht="42" customHeight="1" x14ac:dyDescent="0.3">
      <c r="A68" s="39">
        <f t="shared" si="3"/>
        <v>67</v>
      </c>
      <c r="B68" s="28"/>
      <c r="C68" s="28"/>
      <c r="D68" s="28"/>
      <c r="E68" s="54" t="str">
        <f t="shared" si="5"/>
        <v xml:space="preserve"> </v>
      </c>
      <c r="F68" s="47" t="str">
        <f t="shared" si="4"/>
        <v>NON-COMPLIANT – No log book maintained (score forced to 0)</v>
      </c>
    </row>
    <row r="69" spans="1:6" ht="42" customHeight="1" x14ac:dyDescent="0.3">
      <c r="A69" s="39">
        <f t="shared" si="3"/>
        <v>68</v>
      </c>
      <c r="B69" s="28"/>
      <c r="C69" s="28"/>
      <c r="D69" s="28"/>
      <c r="E69" s="54" t="str">
        <f t="shared" si="5"/>
        <v xml:space="preserve"> </v>
      </c>
      <c r="F69" s="47" t="str">
        <f t="shared" si="4"/>
        <v>NON-COMPLIANT – No log book maintained (score forced to 0)</v>
      </c>
    </row>
    <row r="70" spans="1:6" ht="42" customHeight="1" x14ac:dyDescent="0.3">
      <c r="A70" s="39">
        <f t="shared" si="3"/>
        <v>69</v>
      </c>
      <c r="B70" s="28"/>
      <c r="C70" s="28"/>
      <c r="D70" s="28"/>
      <c r="E70" s="54" t="str">
        <f t="shared" si="5"/>
        <v xml:space="preserve"> </v>
      </c>
      <c r="F70" s="47" t="str">
        <f t="shared" si="4"/>
        <v>NON-COMPLIANT – No log book maintained (score forced to 0)</v>
      </c>
    </row>
    <row r="71" spans="1:6" ht="42" customHeight="1" x14ac:dyDescent="0.3">
      <c r="A71" s="39">
        <f t="shared" si="3"/>
        <v>70</v>
      </c>
      <c r="B71" s="28"/>
      <c r="C71" s="28"/>
      <c r="D71" s="28"/>
      <c r="E71" s="54" t="str">
        <f t="shared" si="5"/>
        <v xml:space="preserve"> </v>
      </c>
      <c r="F71" s="47" t="str">
        <f t="shared" si="4"/>
        <v>NON-COMPLIANT – No log book maintained (score forced to 0)</v>
      </c>
    </row>
    <row r="72" spans="1:6" ht="42" customHeight="1" x14ac:dyDescent="0.3">
      <c r="A72" s="39">
        <f t="shared" si="3"/>
        <v>71</v>
      </c>
      <c r="B72" s="28"/>
      <c r="C72" s="28"/>
      <c r="D72" s="28"/>
      <c r="E72" s="54" t="str">
        <f t="shared" si="5"/>
        <v xml:space="preserve"> </v>
      </c>
      <c r="F72" s="47" t="str">
        <f t="shared" si="4"/>
        <v>NON-COMPLIANT – No log book maintained (score forced to 0)</v>
      </c>
    </row>
    <row r="73" spans="1:6" ht="42" customHeight="1" x14ac:dyDescent="0.3">
      <c r="A73" s="39">
        <f t="shared" si="3"/>
        <v>72</v>
      </c>
      <c r="B73" s="28"/>
      <c r="C73" s="28"/>
      <c r="D73" s="28"/>
      <c r="E73" s="54" t="str">
        <f t="shared" si="5"/>
        <v xml:space="preserve"> </v>
      </c>
      <c r="F73" s="47" t="str">
        <f t="shared" si="4"/>
        <v>NON-COMPLIANT – No log book maintained (score forced to 0)</v>
      </c>
    </row>
    <row r="74" spans="1:6" ht="42" customHeight="1" x14ac:dyDescent="0.3">
      <c r="A74" s="39">
        <f t="shared" si="3"/>
        <v>73</v>
      </c>
      <c r="B74" s="28"/>
      <c r="C74" s="28"/>
      <c r="D74" s="28"/>
      <c r="E74" s="54" t="str">
        <f t="shared" si="5"/>
        <v xml:space="preserve"> </v>
      </c>
      <c r="F74" s="47" t="str">
        <f t="shared" si="4"/>
        <v>NON-COMPLIANT – No log book maintained (score forced to 0)</v>
      </c>
    </row>
    <row r="75" spans="1:6" ht="42" customHeight="1" x14ac:dyDescent="0.3">
      <c r="A75" s="39">
        <f t="shared" si="3"/>
        <v>74</v>
      </c>
      <c r="B75" s="28"/>
      <c r="C75" s="28"/>
      <c r="D75" s="28"/>
      <c r="E75" s="54" t="str">
        <f t="shared" si="5"/>
        <v xml:space="preserve"> </v>
      </c>
      <c r="F75" s="47" t="str">
        <f t="shared" si="4"/>
        <v>NON-COMPLIANT – No log book maintained (score forced to 0)</v>
      </c>
    </row>
    <row r="76" spans="1:6" ht="42" customHeight="1" x14ac:dyDescent="0.3">
      <c r="A76" s="39">
        <f t="shared" si="3"/>
        <v>75</v>
      </c>
      <c r="B76" s="28"/>
      <c r="E76" s="54" t="str">
        <f t="shared" si="5"/>
        <v xml:space="preserve"> </v>
      </c>
      <c r="F76" s="47" t="str">
        <f t="shared" si="4"/>
        <v>NON-COMPLIANT – No log book maintained (score forced to 0)</v>
      </c>
    </row>
    <row r="77" spans="1:6" ht="42" customHeight="1" x14ac:dyDescent="0.3">
      <c r="A77" s="39">
        <f t="shared" si="3"/>
        <v>76</v>
      </c>
      <c r="B77" s="28"/>
      <c r="E77" s="54" t="str">
        <f t="shared" si="5"/>
        <v xml:space="preserve"> </v>
      </c>
      <c r="F77" s="47" t="str">
        <f t="shared" si="4"/>
        <v>NON-COMPLIANT – No log book maintained (score forced to 0)</v>
      </c>
    </row>
    <row r="78" spans="1:6" ht="42" customHeight="1" x14ac:dyDescent="0.3">
      <c r="A78" s="39">
        <f t="shared" si="3"/>
        <v>77</v>
      </c>
      <c r="B78" s="28"/>
      <c r="E78" s="54" t="str">
        <f t="shared" si="5"/>
        <v xml:space="preserve"> </v>
      </c>
      <c r="F78" s="47" t="str">
        <f t="shared" si="4"/>
        <v>NON-COMPLIANT – No log book maintained (score forced to 0)</v>
      </c>
    </row>
    <row r="79" spans="1:6" ht="42" customHeight="1" x14ac:dyDescent="0.3">
      <c r="A79" s="39">
        <f t="shared" si="3"/>
        <v>78</v>
      </c>
      <c r="B79" s="27"/>
      <c r="E79" s="54" t="str">
        <f t="shared" si="5"/>
        <v xml:space="preserve"> </v>
      </c>
      <c r="F79" s="47" t="str">
        <f t="shared" si="4"/>
        <v>NON-COMPLIANT – No log book maintained (score forced to 0)</v>
      </c>
    </row>
    <row r="80" spans="1:6" ht="42" customHeight="1" x14ac:dyDescent="0.3">
      <c r="A80" s="39">
        <f t="shared" si="3"/>
        <v>79</v>
      </c>
      <c r="B80" s="27"/>
      <c r="E80" s="54" t="str">
        <f t="shared" si="5"/>
        <v xml:space="preserve"> </v>
      </c>
      <c r="F80" s="47" t="str">
        <f t="shared" si="4"/>
        <v>NON-COMPLIANT – No log book maintained (score forced to 0)</v>
      </c>
    </row>
    <row r="81" spans="1:6" ht="42" customHeight="1" x14ac:dyDescent="0.3">
      <c r="A81" s="39">
        <f t="shared" si="3"/>
        <v>80</v>
      </c>
      <c r="B81" s="27"/>
      <c r="E81" s="54" t="str">
        <f t="shared" si="5"/>
        <v xml:space="preserve"> </v>
      </c>
      <c r="F81" s="47" t="str">
        <f t="shared" si="4"/>
        <v>NON-COMPLIANT – No log book maintained (score forced to 0)</v>
      </c>
    </row>
    <row r="82" spans="1:6" ht="42" customHeight="1" x14ac:dyDescent="0.3">
      <c r="A82" s="39">
        <f t="shared" si="3"/>
        <v>81</v>
      </c>
      <c r="B82" s="27"/>
      <c r="E82" s="54" t="str">
        <f t="shared" si="5"/>
        <v xml:space="preserve"> </v>
      </c>
      <c r="F82" s="47" t="str">
        <f t="shared" si="4"/>
        <v>NON-COMPLIANT – No log book maintained (score forced to 0)</v>
      </c>
    </row>
    <row r="83" spans="1:6" ht="42" customHeight="1" x14ac:dyDescent="0.3">
      <c r="A83" s="39">
        <f t="shared" si="3"/>
        <v>82</v>
      </c>
      <c r="B83" s="27"/>
      <c r="E83" s="54" t="str">
        <f t="shared" si="5"/>
        <v xml:space="preserve"> </v>
      </c>
      <c r="F83" s="47" t="str">
        <f t="shared" si="4"/>
        <v>NON-COMPLIANT – No log book maintained (score forced to 0)</v>
      </c>
    </row>
    <row r="84" spans="1:6" ht="42" customHeight="1" x14ac:dyDescent="0.3">
      <c r="A84" s="39">
        <f t="shared" si="3"/>
        <v>83</v>
      </c>
      <c r="B84" s="27"/>
      <c r="E84" s="54" t="str">
        <f t="shared" si="5"/>
        <v xml:space="preserve"> </v>
      </c>
      <c r="F84" s="47" t="str">
        <f t="shared" si="4"/>
        <v>NON-COMPLIANT – No log book maintained (score forced to 0)</v>
      </c>
    </row>
    <row r="85" spans="1:6" ht="42" customHeight="1" x14ac:dyDescent="0.3">
      <c r="A85" s="39">
        <f t="shared" si="3"/>
        <v>84</v>
      </c>
      <c r="B85" s="27"/>
      <c r="E85" s="54" t="str">
        <f t="shared" si="5"/>
        <v xml:space="preserve"> </v>
      </c>
      <c r="F85" s="47" t="str">
        <f t="shared" si="4"/>
        <v>NON-COMPLIANT – No log book maintained (score forced to 0)</v>
      </c>
    </row>
    <row r="86" spans="1:6" ht="42" customHeight="1" x14ac:dyDescent="0.3">
      <c r="A86" s="39">
        <f t="shared" si="3"/>
        <v>85</v>
      </c>
      <c r="B86" s="27"/>
      <c r="E86" s="54" t="str">
        <f t="shared" si="5"/>
        <v xml:space="preserve"> </v>
      </c>
      <c r="F86" s="47" t="str">
        <f t="shared" si="4"/>
        <v>NON-COMPLIANT – No log book maintained (score forced to 0)</v>
      </c>
    </row>
    <row r="87" spans="1:6" ht="42" customHeight="1" x14ac:dyDescent="0.3">
      <c r="A87" s="28"/>
      <c r="B87" s="28"/>
      <c r="C87" s="28"/>
      <c r="D87" s="28"/>
      <c r="E87" s="28"/>
    </row>
  </sheetData>
  <mergeCells count="1">
    <mergeCell ref="J2:L2"/>
  </mergeCells>
  <dataValidations count="2">
    <dataValidation type="list" allowBlank="1" showInputMessage="1" showErrorMessage="1" errorTitle="Invalid Entry" error="Please select Yes or No from the dropdown only." promptTitle="Log Book Mechanism Check" prompt="Select Yes only if there is evidence of a maintained log book (complaints recorded and actions taken)." sqref="B92:B1077 K2:K5 C1:C86" xr:uid="{00000000-0002-0000-0B00-000000000000}">
      <formula1>"Yes,No"</formula1>
      <formula2>0</formula2>
    </dataValidation>
    <dataValidation type="list" allowBlank="1" showInputMessage="1" showErrorMessage="1" sqref="D1:D1048576" xr:uid="{66F77696-133F-42FD-858E-56841561B80E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2"/>
  <sheetViews>
    <sheetView tabSelected="1" zoomScale="90" zoomScaleNormal="90" workbookViewId="0">
      <pane ySplit="4" topLeftCell="A62" activePane="bottomLeft" state="frozen"/>
      <selection pane="bottomLeft" activeCell="D53" sqref="D53"/>
    </sheetView>
  </sheetViews>
  <sheetFormatPr defaultColWidth="8.5546875" defaultRowHeight="44.4" customHeight="1" x14ac:dyDescent="0.3"/>
  <cols>
    <col min="1" max="1" width="6.6640625" style="28" customWidth="1"/>
    <col min="2" max="2" width="17.109375" style="28" customWidth="1"/>
    <col min="3" max="5" width="10" style="28" customWidth="1"/>
    <col min="6" max="6" width="11.33203125" style="28" customWidth="1"/>
    <col min="7" max="10" width="10" style="28" customWidth="1"/>
    <col min="11" max="11" width="11.44140625" style="28" customWidth="1"/>
    <col min="12" max="12" width="9" style="28" customWidth="1"/>
    <col min="13" max="13" width="9.88671875" style="28" customWidth="1"/>
    <col min="14" max="14" width="28" style="28" customWidth="1"/>
    <col min="15" max="15" width="13.21875" style="28" customWidth="1"/>
    <col min="16" max="16384" width="8.5546875" style="28"/>
  </cols>
  <sheetData>
    <row r="1" spans="1:15" ht="44.4" customHeight="1" x14ac:dyDescent="0.3">
      <c r="A1" s="69" t="s">
        <v>236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7"/>
    </row>
    <row r="2" spans="1:15" ht="44.4" customHeight="1" x14ac:dyDescent="0.3">
      <c r="A2" s="75" t="s">
        <v>237</v>
      </c>
      <c r="B2" s="76"/>
      <c r="C2" s="76"/>
      <c r="D2" s="76"/>
      <c r="E2" s="76"/>
      <c r="F2" s="76"/>
      <c r="G2" s="77"/>
      <c r="H2" s="75" t="s">
        <v>238</v>
      </c>
      <c r="I2" s="76"/>
      <c r="J2" s="76"/>
      <c r="K2" s="76"/>
      <c r="L2" s="76"/>
      <c r="M2" s="76"/>
      <c r="N2" s="76"/>
      <c r="O2" s="77"/>
    </row>
    <row r="3" spans="1:15" ht="44.4" customHeight="1" x14ac:dyDescent="0.3">
      <c r="A3" s="72"/>
      <c r="B3" s="77"/>
      <c r="C3" s="70" t="s">
        <v>239</v>
      </c>
      <c r="D3" s="76"/>
      <c r="E3" s="76"/>
      <c r="F3" s="77"/>
      <c r="G3" s="13" t="s">
        <v>240</v>
      </c>
      <c r="H3" s="67" t="s">
        <v>241</v>
      </c>
      <c r="I3" s="76"/>
      <c r="J3" s="76"/>
      <c r="K3" s="77"/>
      <c r="L3" s="1" t="s">
        <v>242</v>
      </c>
      <c r="M3" s="1" t="s">
        <v>243</v>
      </c>
      <c r="N3" s="1" t="s">
        <v>244</v>
      </c>
    </row>
    <row r="4" spans="1:15" ht="44.4" customHeight="1" x14ac:dyDescent="0.3">
      <c r="A4" s="7" t="s">
        <v>245</v>
      </c>
      <c r="B4" s="7" t="s">
        <v>246</v>
      </c>
      <c r="C4" s="30" t="s">
        <v>247</v>
      </c>
      <c r="D4" s="30" t="s">
        <v>248</v>
      </c>
      <c r="E4" s="30" t="s">
        <v>249</v>
      </c>
      <c r="F4" s="30" t="s">
        <v>250</v>
      </c>
      <c r="G4" s="14" t="s">
        <v>251</v>
      </c>
      <c r="H4" s="31" t="s">
        <v>252</v>
      </c>
      <c r="I4" s="31" t="s">
        <v>253</v>
      </c>
      <c r="J4" s="31" t="s">
        <v>254</v>
      </c>
      <c r="K4" s="31" t="s">
        <v>255</v>
      </c>
      <c r="L4" s="7" t="s">
        <v>256</v>
      </c>
      <c r="M4" s="7" t="s">
        <v>257</v>
      </c>
      <c r="N4" s="7" t="s">
        <v>258</v>
      </c>
    </row>
    <row r="5" spans="1:15" ht="44.4" customHeight="1" x14ac:dyDescent="0.3">
      <c r="A5" s="15">
        <v>1</v>
      </c>
      <c r="B5" s="4" t="str">
        <f>IFERROR(Spatial!B2,"")</f>
        <v>Lubhu_WSUC</v>
      </c>
      <c r="C5" s="6" t="str">
        <f>IFERROR('Service Coverage'!G2,0)</f>
        <v/>
      </c>
      <c r="D5" s="6" t="str">
        <f>IFERROR(Adequacy!J2,0)</f>
        <v/>
      </c>
      <c r="E5" s="6">
        <f>IFERROR('Water Quality Score'!F2,0)</f>
        <v>0.2</v>
      </c>
      <c r="F5" s="6">
        <f>IFERROR('Reliability score'!D2,0)</f>
        <v>1</v>
      </c>
      <c r="G5" s="6" t="e">
        <f>ROUND((0.35*E5+0.25*C5+0.2*D5+0.2*F5)*100,1)</f>
        <v>#VALUE!</v>
      </c>
      <c r="H5" s="6">
        <f>IFERROR(NRW!H2,0)</f>
        <v>0</v>
      </c>
      <c r="I5" s="6">
        <f>IFERROR('O&amp;M score'!G2,0)</f>
        <v>0.49869378439815359</v>
      </c>
      <c r="J5" s="6" t="str">
        <f>IFERROR('Metering Ratio Score'!F2,0)</f>
        <v/>
      </c>
      <c r="K5" s="6" t="str">
        <f>IFERROR('Grievance Addressal'!E2,0)</f>
        <v xml:space="preserve"> </v>
      </c>
      <c r="L5" s="4" t="e">
        <f>ROUND((0.3*H5+0.25*K5+0.25*I5+0.2*J5)*100,1)</f>
        <v>#VALUE!</v>
      </c>
      <c r="M5" s="16" t="e">
        <f>IF(AND(G5&gt;=95,L5&gt;=95),1,IF(AND(G5&gt;=90,L5&gt;=90),2,IF(AND(G5&gt;=80,L5&gt;=80),3,IF(AND(G5&gt;=70,L5&gt;=70),4,IF(AND(G5&gt;=50,L5&gt;=50),5,IF(AND(G5&lt;50,L5&gt;=50),6,IF(AND(G5&gt;=50,L5&lt;50),7,IF(OR(G5&gt;=30,L5&gt;=30),8,9))))))))</f>
        <v>#VALUE!</v>
      </c>
      <c r="N5" s="17" t="e">
        <f>IF(M5=1,"1. Highly Efficient-Efficient Level",IF(M5=2,"2. Moderately Efficient-Efficient Level",IF(M5=3,"3. Just Efficient-Efficient Level",IF(M5=4,"4. Improved-Improving Level",IF(M5=5,"5. Improving-Improving Level",IF(M5=6,"6. Active-Functioning Level",IF(M5=7,"7. Inactive-Functioning Level",IF(M5=8,"8. Poor-Functioning Level","9. Very Poor-Functioning Level"))))))))</f>
        <v>#VALUE!</v>
      </c>
    </row>
    <row r="6" spans="1:15" ht="44.4" customHeight="1" x14ac:dyDescent="0.3">
      <c r="A6" s="15">
        <f>A5+1</f>
        <v>2</v>
      </c>
      <c r="B6" s="3" t="str">
        <f>IFERROR(Spatial!B3,"")</f>
        <v>Shivalaya_WSUC</v>
      </c>
      <c r="C6" s="5">
        <f>IFERROR('Service Coverage'!G3,0)</f>
        <v>0</v>
      </c>
      <c r="D6" s="5">
        <f>IFERROR(Adequacy!J3,0)</f>
        <v>0</v>
      </c>
      <c r="E6" s="5">
        <f>IFERROR('Water Quality Score'!F3,0)</f>
        <v>1</v>
      </c>
      <c r="F6" s="5">
        <f>IFERROR('Reliability score'!D3,0)</f>
        <v>0.52380952380952384</v>
      </c>
      <c r="G6" s="5">
        <f>ROUND((0.35*E6+0.25*C6+0.2*D6+0.2*F6)*100,1)</f>
        <v>45.5</v>
      </c>
      <c r="H6" s="5">
        <f>IFERROR(NRW!H3,0)</f>
        <v>0</v>
      </c>
      <c r="I6" s="5">
        <f>IFERROR('O&amp;M score'!G3,0)</f>
        <v>1</v>
      </c>
      <c r="J6" s="5">
        <f>IFERROR('Metering Ratio Score'!F3,0)</f>
        <v>0.9545454545454547</v>
      </c>
      <c r="K6" s="5">
        <f>IFERROR('Grievance Addressal'!E3,0)</f>
        <v>0</v>
      </c>
      <c r="L6" s="3">
        <f>ROUND((0.3*H6+0.25*K6+0.25*I6+0.2*J6)*100,1)</f>
        <v>44.1</v>
      </c>
      <c r="M6" s="18">
        <f>IF(AND(G6&gt;=95,L6&gt;=95),1,IF(AND(G6&gt;=90,L6&gt;=90),2,IF(AND(G6&gt;=80,L6&gt;=80),3,IF(AND(G6&gt;=70,L6&gt;=70),4,IF(AND(G6&gt;=50,L6&gt;=50),5,IF(AND(G6&lt;50,L6&gt;=50),6,IF(AND(G6&gt;=50,L6&lt;50),7,IF(OR(G6&gt;=30,L6&gt;=30),8,9))))))))</f>
        <v>8</v>
      </c>
      <c r="N6" s="19" t="str">
        <f>IF(M6=1,"1. Highly Efficient — Efficient Level",IF(M6=2,"2. Moderately Efficient — Efficient Level",IF(M6=3,"3. Just Efficient—Efficient Level",IF(M6=4,"4. Improved — Improving Level",IF(M6=5,"5. Improving — Improving Level",IF(M6=6,"6. Active — Functioning Level",IF(M6=7,"7. Inactive — Functioning Level",IF(M6=8,"8. Poor — Functioning Level","9. Very Poor — Functioning Level"))))))))</f>
        <v>8. Poor — Functioning Level</v>
      </c>
    </row>
    <row r="7" spans="1:15" ht="44.4" customHeight="1" x14ac:dyDescent="0.3">
      <c r="A7" s="15">
        <f t="shared" ref="A7:A70" si="0">A6+1</f>
        <v>3</v>
      </c>
      <c r="B7" s="4" t="str">
        <f>IFERROR(Spatial!B4,"")</f>
        <v>Ratnanagar_WSUC</v>
      </c>
      <c r="C7" s="6" t="str">
        <f>IFERROR('Service Coverage'!G4,0)</f>
        <v/>
      </c>
      <c r="D7" s="6">
        <f>IFERROR(Adequacy!J4,0)</f>
        <v>0</v>
      </c>
      <c r="E7" s="6">
        <f>IFERROR('Water Quality Score'!F4,0)</f>
        <v>0.2</v>
      </c>
      <c r="F7" s="6">
        <f>IFERROR('Reliability score'!D4,0)</f>
        <v>1</v>
      </c>
      <c r="G7" s="6" t="e">
        <f>ROUND((0.35*E7+0.25*C7+0.2*D7+0.2*F7)*100,1)</f>
        <v>#VALUE!</v>
      </c>
      <c r="H7" s="6">
        <f>IFERROR(NRW!H4,0)</f>
        <v>0</v>
      </c>
      <c r="I7" s="6">
        <f>IFERROR('O&amp;M score'!G4,0)</f>
        <v>0.89999999999999991</v>
      </c>
      <c r="J7" s="6" t="str">
        <f>IFERROR('Metering Ratio Score'!F4,0)</f>
        <v/>
      </c>
      <c r="K7" s="6" t="str">
        <f>IFERROR('Grievance Addressal'!E4,0)</f>
        <v xml:space="preserve"> </v>
      </c>
      <c r="L7" s="4" t="e">
        <f>ROUND((0.3*H7+0.25*K7+0.25*I7+0.2*J7)*100,1)</f>
        <v>#VALUE!</v>
      </c>
      <c r="M7" s="20" t="e">
        <f>IF(AND(G7&gt;=95,L7&gt;=95),1,IF(AND(G7&gt;=90,L7&gt;=90),2,IF(AND(G7&gt;=80,L7&gt;=80),3,IF(AND(G7&gt;=70,L7&gt;=70),4,IF(AND(G7&gt;=50,L7&gt;=50),5,IF(AND(G7&lt;50,L7&gt;=50),6,IF(AND(G7&gt;=50,L7&lt;50),7,IF(OR(G7&gt;=30,L7&gt;=30),8,9))))))))</f>
        <v>#VALUE!</v>
      </c>
      <c r="N7" s="21" t="e">
        <f>IF(M7=1,"1. Highly Efficient — Efficient Level",IF(M7=2,"2. Moderately Efficient — Efficient Level",IF(M7=3,"3. Just Efficient — Efficient Level",IF(M7=4,"4. Improved — Improving Level",IF(M7=5,"5. Improving — Improving Level",IF(M7=6,"6. Active — Functioning Level",IF(M7=7,"7. Inactive — Functioning Level",IF(M7=8,"8. Poor — Functioning Level","9. Very Poor — Functioning Level"))))))))</f>
        <v>#VALUE!</v>
      </c>
    </row>
    <row r="8" spans="1:15" ht="44.4" customHeight="1" x14ac:dyDescent="0.3">
      <c r="A8" s="15">
        <f t="shared" si="0"/>
        <v>4</v>
      </c>
      <c r="B8" s="3" t="str">
        <f>IFERROR(Spatial!B5,"")</f>
        <v>Nirmalpokhari_WSUC</v>
      </c>
      <c r="C8" s="5">
        <f>IFERROR('Service Coverage'!G5,0)</f>
        <v>0</v>
      </c>
      <c r="D8" s="5">
        <f>IFERROR(Adequacy!J5,0)</f>
        <v>0</v>
      </c>
      <c r="E8" s="5">
        <f>IFERROR('Water Quality Score'!F5,0)</f>
        <v>0.60000000000000009</v>
      </c>
      <c r="F8" s="5">
        <f>IFERROR('Reliability score'!D5,0)</f>
        <v>0.61904761904761907</v>
      </c>
      <c r="G8" s="3">
        <f>ROUND((0.35*E8+0.25*C8+0.2*D8+0.2*F8)*100,1)</f>
        <v>33.4</v>
      </c>
      <c r="H8" s="5">
        <f>IFERROR(NRW!H5,0)</f>
        <v>0</v>
      </c>
      <c r="I8" s="5">
        <f>IFERROR('O&amp;M score'!G5,0)</f>
        <v>1</v>
      </c>
      <c r="J8" s="5">
        <f>IFERROR('Metering Ratio Score'!F5,0)</f>
        <v>4.761904761904763E-2</v>
      </c>
      <c r="K8" s="11">
        <f>IFERROR('Grievance Addressal'!E5,0)</f>
        <v>1</v>
      </c>
      <c r="L8" s="3">
        <f>ROUND((0.3*H8+0.25*K8+0.25*I8+0.2*J8)*100,1)</f>
        <v>51</v>
      </c>
      <c r="M8" s="22">
        <f>IF(AND(G8&gt;=95,L8&gt;=95),1,IF(AND(G8&gt;=90,L8&gt;=90),2,IF(AND(G8&gt;=80,L8&gt;=80),3,IF(AND(G8&gt;=70,L8&gt;=70),4,IF(AND(G8&gt;=50,L8&gt;=50),5,IF(AND(G8&lt;50,L8&gt;=50),6,IF(AND(G8&gt;=50,L8&lt;50),7,IF(OR(G8&gt;=30,L8&gt;=30),8,9))))))))</f>
        <v>6</v>
      </c>
      <c r="N8" s="23" t="str">
        <f>IF(M8=1,"1. Highly Efficient — Efficient Level",IF(M8=2,"2. Moderately Efficient — Efficient Level",IF(M8=3,"3. Just Efficient — Efficient Level",IF(M8=4,"4. Improved — Improving Level",IF(M8=5,"5. Improving — Improving Level",IF(M8=6,"6. Active — Functioning Level",IF(M8=7,"7. Inactive — Functioning Level",IF(M8=8,"8. Poor — Functioning Level","9. Very Poor — Functioning Level"))))))))</f>
        <v>6. Active — Functioning Level</v>
      </c>
    </row>
    <row r="9" spans="1:15" ht="44.4" customHeight="1" x14ac:dyDescent="0.3">
      <c r="A9" s="15">
        <f t="shared" si="0"/>
        <v>5</v>
      </c>
      <c r="B9" s="4" t="str">
        <f>IFERROR(Spatial!B6,"")</f>
        <v>Bhimad_WSUC</v>
      </c>
      <c r="C9" s="6" t="str">
        <f>IFERROR('Service Coverage'!G6,0)</f>
        <v/>
      </c>
      <c r="D9" s="6" t="str">
        <f>IFERROR(Adequacy!J6,0)</f>
        <v/>
      </c>
      <c r="E9" s="6">
        <f>IFERROR('Water Quality Score'!F6,0)</f>
        <v>0.2</v>
      </c>
      <c r="F9" s="6">
        <f>IFERROR('Reliability score'!D6,0)</f>
        <v>0.7142857142857143</v>
      </c>
      <c r="G9" s="4" t="e">
        <f>ROUND((0.35*E9+0.25*C9+0.2*D9+0.2*F9)*100,1)</f>
        <v>#VALUE!</v>
      </c>
      <c r="H9" s="6">
        <f>IFERROR(NRW!H6,0)</f>
        <v>0</v>
      </c>
      <c r="I9" s="5" t="str">
        <f>IFERROR('O&amp;M score'!G6,0)</f>
        <v/>
      </c>
      <c r="J9" s="6" t="str">
        <f>IFERROR('Metering Ratio Score'!F6,0)</f>
        <v/>
      </c>
      <c r="K9" s="12" t="str">
        <f>IFERROR('Grievance Addressal'!E6,0)</f>
        <v xml:space="preserve"> </v>
      </c>
      <c r="L9" s="4" t="e">
        <f>ROUND((0.3*H9+0.25*K9+0.25*I9+0.2*J9)*100,1)</f>
        <v>#VALUE!</v>
      </c>
      <c r="M9" s="24" t="e">
        <f>IF(AND(G9&gt;=95,L9&gt;=95),1,IF(AND(G9&gt;=90,L9&gt;=90),2,IF(AND(G9&gt;=80,L9&gt;=80),3,IF(AND(G9&gt;=70,L9&gt;=70),4,IF(AND(G9&gt;=50,L9&gt;=50),5,IF(AND(G9&lt;50,L9&gt;=50),6,IF(AND(G9&gt;=50,L9&lt;50),7,IF(OR(G9&gt;=30,L9&gt;=30),8,9))))))))</f>
        <v>#VALUE!</v>
      </c>
      <c r="N9" s="25" t="e">
        <f>IF(M9=1,"1. Highly Efficient — Efficient Level",IF(M9=2,"2. Moderately Efficient — Efficient Level",IF(M9=3,"3. Just Efficient — Efficient Level",IF(M9=4,"4. Improved — Improving Level",IF(M9=5,"5. Improving — Improving Level",IF(M9=6,"6. Active — Functioning Level",IF(M9=7,"7. Inactive — Functioning Level",IF(M9=8,"8. Poor — Functioning Level","9. Very Poor — Functioning Level"))))))))</f>
        <v>#VALUE!</v>
      </c>
    </row>
    <row r="10" spans="1:15" ht="44.4" customHeight="1" x14ac:dyDescent="0.3">
      <c r="A10" s="15">
        <f t="shared" si="0"/>
        <v>6</v>
      </c>
      <c r="B10" s="4" t="str">
        <f>IFERROR(Spatial!B7,"")</f>
        <v>Katunje_WSUC</v>
      </c>
      <c r="C10" s="6" t="str">
        <f>IFERROR('Service Coverage'!G7,0)</f>
        <v/>
      </c>
      <c r="D10" s="6">
        <f>IFERROR(Adequacy!J7,0)</f>
        <v>0</v>
      </c>
      <c r="E10" s="6">
        <f>IFERROR('Water Quality Score'!F7,0)</f>
        <v>0.2</v>
      </c>
      <c r="F10" s="6">
        <f>IFERROR('Reliability score'!D7,0)</f>
        <v>0.52380952380952384</v>
      </c>
      <c r="G10" s="4" t="e">
        <f t="shared" ref="G10:G72" si="1">ROUND((0.35*E10+0.25*C10+0.2*D10+0.2*F10)*100,1)</f>
        <v>#VALUE!</v>
      </c>
      <c r="H10" s="6">
        <f>IFERROR(NRW!H7,0)</f>
        <v>0</v>
      </c>
      <c r="I10" s="5">
        <f>IFERROR('O&amp;M score'!G7,0)</f>
        <v>1</v>
      </c>
      <c r="J10" s="6" t="str">
        <f>IFERROR('Metering Ratio Score'!F7,0)</f>
        <v/>
      </c>
      <c r="K10" s="12" t="str">
        <f>IFERROR('Grievance Addressal'!E7,0)</f>
        <v xml:space="preserve"> </v>
      </c>
      <c r="L10" s="4" t="e">
        <f t="shared" ref="L10:L47" si="2">ROUND((0.3*H10+0.25*K10+0.25*I10+0.2*J10)*100,1)</f>
        <v>#VALUE!</v>
      </c>
      <c r="M10" s="24" t="e">
        <f t="shared" ref="M10:M72" si="3">IF(AND(G10&gt;=95,L10&gt;=95),1,IF(AND(G10&gt;=90,L10&gt;=90),2,IF(AND(G10&gt;=80,L10&gt;=80),3,IF(AND(G10&gt;=70,L10&gt;=70),4,IF(AND(G10&gt;=50,L10&gt;=50),5,IF(AND(G10&lt;50,L10&gt;=50),6,IF(AND(G10&gt;=50,L10&lt;50),7,IF(OR(G10&gt;=30,L10&gt;=30),8,9))))))))</f>
        <v>#VALUE!</v>
      </c>
      <c r="N10" s="25" t="e">
        <f t="shared" ref="N10:N72" si="4">IF(M10=1,"1. Highly Efficient — Efficient Level",IF(M10=2,"2. Moderately Efficient — Efficient Level",IF(M10=3,"3. Just Efficient — Efficient Level",IF(M10=4,"4. Improved — Improving Level",IF(M10=5,"5. Improving — Improving Level",IF(M10=6,"6. Active — Functioning Level",IF(M10=7,"7. Inactive — Functioning Level",IF(M10=8,"8. Poor — Functioning Level","9. Very Poor — Functioning Level"))))))))</f>
        <v>#VALUE!</v>
      </c>
    </row>
    <row r="11" spans="1:15" ht="44.4" customHeight="1" x14ac:dyDescent="0.3">
      <c r="A11" s="15">
        <f t="shared" si="0"/>
        <v>7</v>
      </c>
      <c r="B11" s="4" t="str">
        <f>IFERROR(Spatial!B8,"")</f>
        <v>Nijgad_WSUC</v>
      </c>
      <c r="C11" s="6" t="str">
        <f>IFERROR('Service Coverage'!G8,0)</f>
        <v/>
      </c>
      <c r="D11" s="6" t="str">
        <f>IFERROR(Adequacy!J8,0)</f>
        <v/>
      </c>
      <c r="E11" s="6">
        <f>IFERROR('Water Quality Score'!F8,0)</f>
        <v>0.2</v>
      </c>
      <c r="F11" s="6">
        <f>IFERROR('Reliability score'!D8,0)</f>
        <v>0.5714285714285714</v>
      </c>
      <c r="G11" s="4" t="e">
        <f t="shared" si="1"/>
        <v>#VALUE!</v>
      </c>
      <c r="H11" s="6">
        <f>IFERROR(NRW!H8,0)</f>
        <v>0</v>
      </c>
      <c r="I11" s="5" t="str">
        <f>IFERROR('O&amp;M score'!G8,0)</f>
        <v/>
      </c>
      <c r="J11" s="6" t="str">
        <f>IFERROR('Metering Ratio Score'!F8,0)</f>
        <v/>
      </c>
      <c r="K11" s="12" t="str">
        <f>IFERROR('Grievance Addressal'!E8,0)</f>
        <v xml:space="preserve"> </v>
      </c>
      <c r="L11" s="4" t="e">
        <f t="shared" si="2"/>
        <v>#VALUE!</v>
      </c>
      <c r="M11" s="24" t="e">
        <f t="shared" si="3"/>
        <v>#VALUE!</v>
      </c>
      <c r="N11" s="25" t="e">
        <f t="shared" si="4"/>
        <v>#VALUE!</v>
      </c>
    </row>
    <row r="12" spans="1:15" ht="44.4" customHeight="1" x14ac:dyDescent="0.3">
      <c r="A12" s="15">
        <f t="shared" si="0"/>
        <v>8</v>
      </c>
      <c r="B12" s="4" t="str">
        <f>IFERROR(Spatial!B9,"")</f>
        <v>Tinthana_WSUC</v>
      </c>
      <c r="C12" s="6" t="str">
        <f>IFERROR('Service Coverage'!G9,0)</f>
        <v/>
      </c>
      <c r="D12" s="6" t="str">
        <f>IFERROR(Adequacy!J9,0)</f>
        <v/>
      </c>
      <c r="E12" s="6">
        <f>IFERROR('Water Quality Score'!F9,0)</f>
        <v>0.2</v>
      </c>
      <c r="F12" s="6" t="str">
        <f>IFERROR('Reliability score'!D9,0)</f>
        <v xml:space="preserve"> </v>
      </c>
      <c r="G12" s="4" t="e">
        <f t="shared" si="1"/>
        <v>#VALUE!</v>
      </c>
      <c r="H12" s="6">
        <f>IFERROR(NRW!H9,0)</f>
        <v>0</v>
      </c>
      <c r="I12" s="5" t="str">
        <f>IFERROR('O&amp;M score'!G9,0)</f>
        <v/>
      </c>
      <c r="J12" s="6" t="str">
        <f>IFERROR('Metering Ratio Score'!F9,0)</f>
        <v/>
      </c>
      <c r="K12" s="12" t="str">
        <f>IFERROR('Grievance Addressal'!E9,0)</f>
        <v xml:space="preserve"> </v>
      </c>
      <c r="L12" s="4" t="e">
        <f t="shared" si="2"/>
        <v>#VALUE!</v>
      </c>
      <c r="M12" s="24" t="e">
        <f t="shared" si="3"/>
        <v>#VALUE!</v>
      </c>
      <c r="N12" s="25" t="e">
        <f t="shared" si="4"/>
        <v>#VALUE!</v>
      </c>
    </row>
    <row r="13" spans="1:15" ht="44.4" customHeight="1" x14ac:dyDescent="0.3">
      <c r="A13" s="15">
        <f t="shared" si="0"/>
        <v>9</v>
      </c>
      <c r="B13" s="4" t="str">
        <f>IFERROR(Spatial!B10,"")</f>
        <v>Birgunj_WSUC</v>
      </c>
      <c r="C13" s="6" t="str">
        <f>IFERROR('Service Coverage'!G10,0)</f>
        <v/>
      </c>
      <c r="D13" s="6" t="str">
        <f>IFERROR(Adequacy!J10,0)</f>
        <v/>
      </c>
      <c r="E13" s="6">
        <f>IFERROR('Water Quality Score'!F10,0)</f>
        <v>0.2</v>
      </c>
      <c r="F13" s="6">
        <f>IFERROR('Reliability score'!D10,0)</f>
        <v>0.7142857142857143</v>
      </c>
      <c r="G13" s="4" t="e">
        <f t="shared" si="1"/>
        <v>#VALUE!</v>
      </c>
      <c r="H13" s="6">
        <f>IFERROR(NRW!H10,0)</f>
        <v>0</v>
      </c>
      <c r="I13" s="5" t="str">
        <f>IFERROR('O&amp;M score'!G10,0)</f>
        <v/>
      </c>
      <c r="J13" s="6" t="str">
        <f>IFERROR('Metering Ratio Score'!F10,0)</f>
        <v/>
      </c>
      <c r="K13" s="12" t="str">
        <f>IFERROR('Grievance Addressal'!E10,0)</f>
        <v xml:space="preserve"> </v>
      </c>
      <c r="L13" s="4" t="e">
        <f t="shared" si="2"/>
        <v>#VALUE!</v>
      </c>
      <c r="M13" s="24" t="e">
        <f t="shared" si="3"/>
        <v>#VALUE!</v>
      </c>
      <c r="N13" s="25" t="e">
        <f t="shared" si="4"/>
        <v>#VALUE!</v>
      </c>
    </row>
    <row r="14" spans="1:15" ht="44.4" customHeight="1" x14ac:dyDescent="0.3">
      <c r="A14" s="15">
        <f t="shared" si="0"/>
        <v>10</v>
      </c>
      <c r="B14" s="4" t="str">
        <f>IFERROR(Spatial!B11,"")</f>
        <v>Gaur_WSUC</v>
      </c>
      <c r="C14" s="6" t="str">
        <f>IFERROR('Service Coverage'!G11,0)</f>
        <v/>
      </c>
      <c r="D14" s="6" t="str">
        <f>IFERROR(Adequacy!J11,0)</f>
        <v/>
      </c>
      <c r="E14" s="6">
        <f>IFERROR('Water Quality Score'!F11,0)</f>
        <v>0.2</v>
      </c>
      <c r="F14" s="6">
        <f>IFERROR('Reliability score'!D11,0)</f>
        <v>0.69047619047619047</v>
      </c>
      <c r="G14" s="4" t="e">
        <f t="shared" si="1"/>
        <v>#VALUE!</v>
      </c>
      <c r="H14" s="6">
        <f>IFERROR(NRW!H11,0)</f>
        <v>0</v>
      </c>
      <c r="I14" s="5" t="str">
        <f>IFERROR('O&amp;M score'!G11,0)</f>
        <v/>
      </c>
      <c r="J14" s="6" t="str">
        <f>IFERROR('Metering Ratio Score'!F11,0)</f>
        <v/>
      </c>
      <c r="K14" s="12" t="str">
        <f>IFERROR('Grievance Addressal'!E11,0)</f>
        <v xml:space="preserve"> </v>
      </c>
      <c r="L14" s="4" t="e">
        <f t="shared" si="2"/>
        <v>#VALUE!</v>
      </c>
      <c r="M14" s="24" t="e">
        <f t="shared" si="3"/>
        <v>#VALUE!</v>
      </c>
      <c r="N14" s="25" t="e">
        <f t="shared" si="4"/>
        <v>#VALUE!</v>
      </c>
    </row>
    <row r="15" spans="1:15" ht="44.4" customHeight="1" x14ac:dyDescent="0.3">
      <c r="A15" s="15">
        <f t="shared" si="0"/>
        <v>11</v>
      </c>
      <c r="B15" s="4" t="str">
        <f>IFERROR(Spatial!B12,"")</f>
        <v>Beni_WSUC</v>
      </c>
      <c r="C15" s="6" t="str">
        <f>IFERROR('Service Coverage'!G12,0)</f>
        <v/>
      </c>
      <c r="D15" s="6" t="str">
        <f>IFERROR(Adequacy!J12,0)</f>
        <v/>
      </c>
      <c r="E15" s="6">
        <f>IFERROR('Water Quality Score'!F12,0)</f>
        <v>0.2</v>
      </c>
      <c r="F15" s="6" t="str">
        <f>IFERROR('Reliability score'!D12,0)</f>
        <v xml:space="preserve"> </v>
      </c>
      <c r="G15" s="4" t="e">
        <f t="shared" si="1"/>
        <v>#VALUE!</v>
      </c>
      <c r="H15" s="6">
        <f>IFERROR(NRW!H12,0)</f>
        <v>0</v>
      </c>
      <c r="I15" s="5" t="str">
        <f>IFERROR('O&amp;M score'!G12,0)</f>
        <v/>
      </c>
      <c r="J15" s="6" t="str">
        <f>IFERROR('Metering Ratio Score'!F12,0)</f>
        <v/>
      </c>
      <c r="K15" s="12" t="str">
        <f>IFERROR('Grievance Addressal'!E12,0)</f>
        <v xml:space="preserve"> </v>
      </c>
      <c r="L15" s="4" t="e">
        <f t="shared" si="2"/>
        <v>#VALUE!</v>
      </c>
      <c r="M15" s="24" t="e">
        <f t="shared" si="3"/>
        <v>#VALUE!</v>
      </c>
      <c r="N15" s="25" t="e">
        <f t="shared" si="4"/>
        <v>#VALUE!</v>
      </c>
    </row>
    <row r="16" spans="1:15" ht="44.4" customHeight="1" x14ac:dyDescent="0.3">
      <c r="A16" s="15">
        <f t="shared" si="0"/>
        <v>12</v>
      </c>
      <c r="B16" s="4" t="str">
        <f>IFERROR(Spatial!B13,"")</f>
        <v>Narayansthan_WSUC</v>
      </c>
      <c r="C16" s="6" t="str">
        <f>IFERROR('Service Coverage'!G13,0)</f>
        <v/>
      </c>
      <c r="D16" s="6" t="str">
        <f>IFERROR(Adequacy!J13,0)</f>
        <v/>
      </c>
      <c r="E16" s="6">
        <f>IFERROR('Water Quality Score'!F13,0)</f>
        <v>0.2</v>
      </c>
      <c r="F16" s="6" t="str">
        <f>IFERROR('Reliability score'!D13,0)</f>
        <v xml:space="preserve"> </v>
      </c>
      <c r="G16" s="4" t="e">
        <f t="shared" si="1"/>
        <v>#VALUE!</v>
      </c>
      <c r="H16" s="6">
        <f>IFERROR(NRW!H13,0)</f>
        <v>0</v>
      </c>
      <c r="I16" s="5">
        <f>IFERROR('O&amp;M score'!G13,0)</f>
        <v>0.47698541329011346</v>
      </c>
      <c r="J16" s="6" t="str">
        <f>IFERROR('Metering Ratio Score'!F13,0)</f>
        <v/>
      </c>
      <c r="K16" s="12" t="str">
        <f>IFERROR('Grievance Addressal'!E13,0)</f>
        <v xml:space="preserve"> </v>
      </c>
      <c r="L16" s="4" t="e">
        <f t="shared" si="2"/>
        <v>#VALUE!</v>
      </c>
      <c r="M16" s="24" t="e">
        <f t="shared" si="3"/>
        <v>#VALUE!</v>
      </c>
      <c r="N16" s="25" t="e">
        <f t="shared" si="4"/>
        <v>#VALUE!</v>
      </c>
    </row>
    <row r="17" spans="1:14" ht="44.4" customHeight="1" x14ac:dyDescent="0.3">
      <c r="A17" s="15">
        <f t="shared" si="0"/>
        <v>13</v>
      </c>
      <c r="B17" s="4" t="str">
        <f>IFERROR(Spatial!B14,"")</f>
        <v>Diktel_WSUC</v>
      </c>
      <c r="C17" s="6" t="str">
        <f>IFERROR('Service Coverage'!G14,0)</f>
        <v/>
      </c>
      <c r="D17" s="6" t="str">
        <f>IFERROR(Adequacy!J14,0)</f>
        <v/>
      </c>
      <c r="E17" s="6">
        <f>IFERROR('Water Quality Score'!F14,0)</f>
        <v>0.2</v>
      </c>
      <c r="F17" s="6" t="str">
        <f>IFERROR('Reliability score'!D14,0)</f>
        <v xml:space="preserve"> </v>
      </c>
      <c r="G17" s="4" t="e">
        <f t="shared" si="1"/>
        <v>#VALUE!</v>
      </c>
      <c r="H17" s="6">
        <f>IFERROR(NRW!H14,0)</f>
        <v>0</v>
      </c>
      <c r="I17" s="5">
        <f>IFERROR('O&amp;M score'!G14,0)</f>
        <v>0</v>
      </c>
      <c r="J17" s="6" t="str">
        <f>IFERROR('Metering Ratio Score'!F14,0)</f>
        <v/>
      </c>
      <c r="K17" s="12" t="str">
        <f>IFERROR('Grievance Addressal'!E14,0)</f>
        <v xml:space="preserve"> </v>
      </c>
      <c r="L17" s="4" t="e">
        <f t="shared" si="2"/>
        <v>#VALUE!</v>
      </c>
      <c r="M17" s="24" t="e">
        <f t="shared" si="3"/>
        <v>#VALUE!</v>
      </c>
      <c r="N17" s="25" t="e">
        <f t="shared" si="4"/>
        <v>#VALUE!</v>
      </c>
    </row>
    <row r="18" spans="1:14" ht="44.4" customHeight="1" x14ac:dyDescent="0.3">
      <c r="A18" s="15">
        <f t="shared" si="0"/>
        <v>14</v>
      </c>
      <c r="B18" s="4" t="str">
        <f>IFERROR(Spatial!B15,"")</f>
        <v>Parsa_WSUC</v>
      </c>
      <c r="C18" s="6" t="str">
        <f>IFERROR('Service Coverage'!G15,0)</f>
        <v/>
      </c>
      <c r="D18" s="6" t="str">
        <f>IFERROR(Adequacy!J15,0)</f>
        <v/>
      </c>
      <c r="E18" s="6">
        <f>IFERROR('Water Quality Score'!F15,0)</f>
        <v>0.2</v>
      </c>
      <c r="F18" s="6">
        <f>IFERROR('Reliability score'!D15,0)</f>
        <v>1</v>
      </c>
      <c r="G18" s="4" t="e">
        <f t="shared" si="1"/>
        <v>#VALUE!</v>
      </c>
      <c r="H18" s="6">
        <f>IFERROR(NRW!H15,0)</f>
        <v>0</v>
      </c>
      <c r="I18" s="5" t="str">
        <f>IFERROR('O&amp;M score'!G15,0)</f>
        <v/>
      </c>
      <c r="J18" s="6" t="str">
        <f>IFERROR('Metering Ratio Score'!F15,0)</f>
        <v/>
      </c>
      <c r="K18" s="12" t="str">
        <f>IFERROR('Grievance Addressal'!E15,0)</f>
        <v xml:space="preserve"> </v>
      </c>
      <c r="L18" s="4" t="e">
        <f t="shared" si="2"/>
        <v>#VALUE!</v>
      </c>
      <c r="M18" s="24" t="e">
        <f t="shared" si="3"/>
        <v>#VALUE!</v>
      </c>
      <c r="N18" s="25" t="e">
        <f t="shared" si="4"/>
        <v>#VALUE!</v>
      </c>
    </row>
    <row r="19" spans="1:14" ht="44.4" customHeight="1" x14ac:dyDescent="0.3">
      <c r="A19" s="15">
        <f t="shared" si="0"/>
        <v>15</v>
      </c>
      <c r="B19" s="4" t="str">
        <f>IFERROR(Spatial!B16,"")</f>
        <v>Saradanagar_WSUC</v>
      </c>
      <c r="C19" s="6" t="str">
        <f>IFERROR('Service Coverage'!G16,0)</f>
        <v/>
      </c>
      <c r="D19" s="6" t="str">
        <f>IFERROR(Adequacy!J16,0)</f>
        <v/>
      </c>
      <c r="E19" s="6">
        <f>IFERROR('Water Quality Score'!F16,0)</f>
        <v>0.2</v>
      </c>
      <c r="F19" s="6">
        <f>IFERROR('Reliability score'!D16,0)</f>
        <v>1</v>
      </c>
      <c r="G19" s="4" t="e">
        <f t="shared" si="1"/>
        <v>#VALUE!</v>
      </c>
      <c r="H19" s="6">
        <f>IFERROR(NRW!H16,0)</f>
        <v>0</v>
      </c>
      <c r="I19" s="5">
        <f>IFERROR('O&amp;M score'!G16,0)</f>
        <v>1</v>
      </c>
      <c r="J19" s="6" t="str">
        <f>IFERROR('Metering Ratio Score'!F16,0)</f>
        <v/>
      </c>
      <c r="K19" s="12" t="str">
        <f>IFERROR('Grievance Addressal'!E16,0)</f>
        <v xml:space="preserve"> </v>
      </c>
      <c r="L19" s="4" t="e">
        <f t="shared" si="2"/>
        <v>#VALUE!</v>
      </c>
      <c r="M19" s="24" t="e">
        <f t="shared" si="3"/>
        <v>#VALUE!</v>
      </c>
      <c r="N19" s="25" t="e">
        <f t="shared" si="4"/>
        <v>#VALUE!</v>
      </c>
    </row>
    <row r="20" spans="1:14" ht="44.4" customHeight="1" x14ac:dyDescent="0.3">
      <c r="A20" s="15">
        <f t="shared" si="0"/>
        <v>16</v>
      </c>
      <c r="B20" s="4" t="str">
        <f>IFERROR(Spatial!B17,"")</f>
        <v>Gunjanagar_WSUC</v>
      </c>
      <c r="C20" s="6" t="str">
        <f>IFERROR('Service Coverage'!G17,0)</f>
        <v/>
      </c>
      <c r="D20" s="6" t="str">
        <f>IFERROR(Adequacy!J17,0)</f>
        <v/>
      </c>
      <c r="E20" s="6">
        <f>IFERROR('Water Quality Score'!F17,0)</f>
        <v>0.2</v>
      </c>
      <c r="F20" s="6">
        <f>IFERROR('Reliability score'!D17,0)</f>
        <v>1</v>
      </c>
      <c r="G20" s="4" t="e">
        <f t="shared" si="1"/>
        <v>#VALUE!</v>
      </c>
      <c r="H20" s="6">
        <f>IFERROR(NRW!H17,0)</f>
        <v>0</v>
      </c>
      <c r="I20" s="5">
        <f>IFERROR('O&amp;M score'!G17,0)</f>
        <v>0.79999999999999982</v>
      </c>
      <c r="J20" s="6" t="str">
        <f>IFERROR('Metering Ratio Score'!F17,0)</f>
        <v/>
      </c>
      <c r="K20" s="12" t="str">
        <f>IFERROR('Grievance Addressal'!E17,0)</f>
        <v xml:space="preserve"> </v>
      </c>
      <c r="L20" s="4" t="e">
        <f t="shared" si="2"/>
        <v>#VALUE!</v>
      </c>
      <c r="M20" s="24" t="e">
        <f t="shared" si="3"/>
        <v>#VALUE!</v>
      </c>
      <c r="N20" s="25" t="e">
        <f t="shared" si="4"/>
        <v>#VALUE!</v>
      </c>
    </row>
    <row r="21" spans="1:14" ht="44.4" customHeight="1" x14ac:dyDescent="0.3">
      <c r="A21" s="15">
        <f t="shared" si="0"/>
        <v>17</v>
      </c>
      <c r="B21" s="4" t="str">
        <f>IFERROR(Spatial!B18,"")</f>
        <v>Meghauli_WSUC</v>
      </c>
      <c r="C21" s="6" t="str">
        <f>IFERROR('Service Coverage'!G18,0)</f>
        <v/>
      </c>
      <c r="D21" s="6" t="str">
        <f>IFERROR(Adequacy!J18,0)</f>
        <v/>
      </c>
      <c r="E21" s="6">
        <f>IFERROR('Water Quality Score'!F18,0)</f>
        <v>0.2</v>
      </c>
      <c r="F21" s="6">
        <f>IFERROR('Reliability score'!D18,0)</f>
        <v>1</v>
      </c>
      <c r="G21" s="4" t="e">
        <f t="shared" si="1"/>
        <v>#VALUE!</v>
      </c>
      <c r="H21" s="6">
        <f>IFERROR(NRW!H18,0)</f>
        <v>0</v>
      </c>
      <c r="I21" s="5" t="str">
        <f>IFERROR('O&amp;M score'!G18,0)</f>
        <v/>
      </c>
      <c r="J21" s="6" t="str">
        <f>IFERROR('Metering Ratio Score'!F18,0)</f>
        <v/>
      </c>
      <c r="K21" s="12" t="str">
        <f>IFERROR('Grievance Addressal'!E18,0)</f>
        <v xml:space="preserve"> </v>
      </c>
      <c r="L21" s="4" t="e">
        <f t="shared" si="2"/>
        <v>#VALUE!</v>
      </c>
      <c r="M21" s="24" t="e">
        <f t="shared" si="3"/>
        <v>#VALUE!</v>
      </c>
      <c r="N21" s="25" t="e">
        <f t="shared" si="4"/>
        <v>#VALUE!</v>
      </c>
    </row>
    <row r="22" spans="1:14" ht="44.4" customHeight="1" x14ac:dyDescent="0.3">
      <c r="A22" s="15">
        <f t="shared" si="0"/>
        <v>18</v>
      </c>
      <c r="B22" s="4" t="str">
        <f>IFERROR(Spatial!B19,"")</f>
        <v>Sukranagar_WSUC</v>
      </c>
      <c r="C22" s="6" t="str">
        <f>IFERROR('Service Coverage'!G19,0)</f>
        <v/>
      </c>
      <c r="D22" s="6" t="str">
        <f>IFERROR(Adequacy!J19,0)</f>
        <v/>
      </c>
      <c r="E22" s="6">
        <f>IFERROR('Water Quality Score'!F19,0)</f>
        <v>0.2</v>
      </c>
      <c r="F22" s="6">
        <f>IFERROR('Reliability score'!D19,0)</f>
        <v>1</v>
      </c>
      <c r="G22" s="4" t="e">
        <f t="shared" si="1"/>
        <v>#VALUE!</v>
      </c>
      <c r="H22" s="6">
        <f>IFERROR(NRW!H19,0)</f>
        <v>0</v>
      </c>
      <c r="I22" s="5">
        <f>IFERROR('O&amp;M score'!G19,0)</f>
        <v>0.31666666666666643</v>
      </c>
      <c r="J22" s="6" t="str">
        <f>IFERROR('Metering Ratio Score'!F19,0)</f>
        <v/>
      </c>
      <c r="K22" s="12" t="str">
        <f>IFERROR('Grievance Addressal'!E19,0)</f>
        <v xml:space="preserve"> </v>
      </c>
      <c r="L22" s="4" t="e">
        <f t="shared" si="2"/>
        <v>#VALUE!</v>
      </c>
      <c r="M22" s="24" t="e">
        <f t="shared" si="3"/>
        <v>#VALUE!</v>
      </c>
      <c r="N22" s="25" t="e">
        <f t="shared" si="4"/>
        <v>#VALUE!</v>
      </c>
    </row>
    <row r="23" spans="1:14" ht="44.4" customHeight="1" x14ac:dyDescent="0.3">
      <c r="A23" s="15">
        <f t="shared" si="0"/>
        <v>19</v>
      </c>
      <c r="B23" s="4" t="str">
        <f>IFERROR(Spatial!B20,"")</f>
        <v>Pithuwa_WSUC</v>
      </c>
      <c r="C23" s="6" t="str">
        <f>IFERROR('Service Coverage'!G20,0)</f>
        <v/>
      </c>
      <c r="D23" s="6" t="str">
        <f>IFERROR(Adequacy!J20,0)</f>
        <v/>
      </c>
      <c r="E23" s="6">
        <f>IFERROR('Water Quality Score'!F20,0)</f>
        <v>0.2</v>
      </c>
      <c r="F23" s="6">
        <f>IFERROR('Reliability score'!D20,0)</f>
        <v>1</v>
      </c>
      <c r="G23" s="4" t="e">
        <f t="shared" si="1"/>
        <v>#VALUE!</v>
      </c>
      <c r="H23" s="6">
        <f>IFERROR(NRW!H20,0)</f>
        <v>0</v>
      </c>
      <c r="I23" s="5" t="str">
        <f>IFERROR('O&amp;M score'!G20,0)</f>
        <v/>
      </c>
      <c r="J23" s="6" t="str">
        <f>IFERROR('Metering Ratio Score'!F20,0)</f>
        <v/>
      </c>
      <c r="K23" s="12" t="str">
        <f>IFERROR('Grievance Addressal'!E20,0)</f>
        <v xml:space="preserve"> </v>
      </c>
      <c r="L23" s="4" t="e">
        <f t="shared" si="2"/>
        <v>#VALUE!</v>
      </c>
      <c r="M23" s="24" t="e">
        <f t="shared" si="3"/>
        <v>#VALUE!</v>
      </c>
      <c r="N23" s="25" t="e">
        <f t="shared" si="4"/>
        <v>#VALUE!</v>
      </c>
    </row>
    <row r="24" spans="1:14" ht="44.4" customHeight="1" x14ac:dyDescent="0.3">
      <c r="A24" s="15">
        <f t="shared" si="0"/>
        <v>20</v>
      </c>
      <c r="B24" s="4" t="str">
        <f>IFERROR(Spatial!B21,"")</f>
        <v>Jutpani_WSUC</v>
      </c>
      <c r="C24" s="6" t="str">
        <f>IFERROR('Service Coverage'!G21,0)</f>
        <v/>
      </c>
      <c r="D24" s="6" t="str">
        <f>IFERROR(Adequacy!J21,0)</f>
        <v/>
      </c>
      <c r="E24" s="6">
        <f>IFERROR('Water Quality Score'!F21,0)</f>
        <v>0.2</v>
      </c>
      <c r="F24" s="6">
        <f>IFERROR('Reliability score'!D21,0)</f>
        <v>0.7857142857142857</v>
      </c>
      <c r="G24" s="4" t="e">
        <f t="shared" si="1"/>
        <v>#VALUE!</v>
      </c>
      <c r="H24" s="6">
        <f>IFERROR(NRW!H21,0)</f>
        <v>0</v>
      </c>
      <c r="I24" s="5">
        <f>IFERROR('O&amp;M score'!G21,0)</f>
        <v>0.30424710424710399</v>
      </c>
      <c r="J24" s="6" t="str">
        <f>IFERROR('Metering Ratio Score'!F21,0)</f>
        <v/>
      </c>
      <c r="K24" s="12" t="str">
        <f>IFERROR('Grievance Addressal'!E21,0)</f>
        <v xml:space="preserve"> </v>
      </c>
      <c r="L24" s="4" t="e">
        <f t="shared" si="2"/>
        <v>#VALUE!</v>
      </c>
      <c r="M24" s="24" t="e">
        <f t="shared" si="3"/>
        <v>#VALUE!</v>
      </c>
      <c r="N24" s="25" t="e">
        <f t="shared" si="4"/>
        <v>#VALUE!</v>
      </c>
    </row>
    <row r="25" spans="1:14" ht="44.4" customHeight="1" x14ac:dyDescent="0.3">
      <c r="A25" s="15">
        <f t="shared" si="0"/>
        <v>21</v>
      </c>
      <c r="B25" s="4" t="str">
        <f>IFERROR(Spatial!B22,"")</f>
        <v>Namunashivanagar_WSUC</v>
      </c>
      <c r="C25" s="6" t="str">
        <f>IFERROR('Service Coverage'!G22,0)</f>
        <v/>
      </c>
      <c r="D25" s="6" t="str">
        <f>IFERROR(Adequacy!J22,0)</f>
        <v/>
      </c>
      <c r="E25" s="6">
        <f>IFERROR('Water Quality Score'!F22,0)</f>
        <v>0.2</v>
      </c>
      <c r="F25" s="6">
        <f>IFERROR('Reliability score'!D22,0)</f>
        <v>1</v>
      </c>
      <c r="G25" s="4" t="e">
        <f t="shared" si="1"/>
        <v>#VALUE!</v>
      </c>
      <c r="H25" s="6">
        <f>IFERROR(NRW!H22,0)</f>
        <v>0</v>
      </c>
      <c r="I25" s="5" t="str">
        <f>IFERROR('O&amp;M score'!G22,0)</f>
        <v/>
      </c>
      <c r="J25" s="6" t="str">
        <f>IFERROR('Metering Ratio Score'!F22,0)</f>
        <v/>
      </c>
      <c r="K25" s="12" t="str">
        <f>IFERROR('Grievance Addressal'!E22,0)</f>
        <v xml:space="preserve"> </v>
      </c>
      <c r="L25" s="4" t="e">
        <f t="shared" si="2"/>
        <v>#VALUE!</v>
      </c>
      <c r="M25" s="24" t="e">
        <f t="shared" si="3"/>
        <v>#VALUE!</v>
      </c>
      <c r="N25" s="25" t="e">
        <f t="shared" si="4"/>
        <v>#VALUE!</v>
      </c>
    </row>
    <row r="26" spans="1:14" ht="44.4" customHeight="1" x14ac:dyDescent="0.3">
      <c r="A26" s="15">
        <f t="shared" si="0"/>
        <v>22</v>
      </c>
      <c r="B26" s="4" t="str">
        <f>IFERROR(Spatial!B23,"")</f>
        <v>Gaidakot_Pumping_WSUC</v>
      </c>
      <c r="C26" s="6" t="str">
        <f>IFERROR('Service Coverage'!G23,0)</f>
        <v/>
      </c>
      <c r="D26" s="6" t="str">
        <f>IFERROR(Adequacy!J23,0)</f>
        <v/>
      </c>
      <c r="E26" s="6">
        <f>IFERROR('Water Quality Score'!F23,0)</f>
        <v>0.2</v>
      </c>
      <c r="F26" s="6">
        <f>IFERROR('Reliability score'!D23,0)</f>
        <v>1</v>
      </c>
      <c r="G26" s="4" t="e">
        <f t="shared" si="1"/>
        <v>#VALUE!</v>
      </c>
      <c r="H26" s="6">
        <f>IFERROR(NRW!H23,0)</f>
        <v>0</v>
      </c>
      <c r="I26" s="5">
        <f>IFERROR('O&amp;M score'!G23,0)</f>
        <v>0.61336632205236952</v>
      </c>
      <c r="J26" s="6" t="str">
        <f>IFERROR('Metering Ratio Score'!F23,0)</f>
        <v/>
      </c>
      <c r="K26" s="12" t="str">
        <f>IFERROR('Grievance Addressal'!E23,0)</f>
        <v xml:space="preserve"> </v>
      </c>
      <c r="L26" s="4" t="e">
        <f t="shared" si="2"/>
        <v>#VALUE!</v>
      </c>
      <c r="M26" s="24" t="e">
        <f t="shared" si="3"/>
        <v>#VALUE!</v>
      </c>
      <c r="N26" s="25" t="e">
        <f t="shared" si="4"/>
        <v>#VALUE!</v>
      </c>
    </row>
    <row r="27" spans="1:14" ht="44.4" customHeight="1" x14ac:dyDescent="0.3">
      <c r="A27" s="15">
        <f t="shared" si="0"/>
        <v>23</v>
      </c>
      <c r="B27" s="4" t="str">
        <f>IFERROR(Spatial!B24,"")</f>
        <v>Amarapuri_WSUC</v>
      </c>
      <c r="C27" s="6" t="str">
        <f>IFERROR('Service Coverage'!G24,0)</f>
        <v/>
      </c>
      <c r="D27" s="6" t="str">
        <f>IFERROR(Adequacy!J24,0)</f>
        <v/>
      </c>
      <c r="E27" s="6">
        <f>IFERROR('Water Quality Score'!F24,0)</f>
        <v>0.2</v>
      </c>
      <c r="F27" s="6">
        <f>IFERROR('Reliability score'!D24,0)</f>
        <v>1</v>
      </c>
      <c r="G27" s="4" t="e">
        <f t="shared" si="1"/>
        <v>#VALUE!</v>
      </c>
      <c r="H27" s="6">
        <f>IFERROR(NRW!H24,0)</f>
        <v>0</v>
      </c>
      <c r="I27" s="5" t="str">
        <f>IFERROR('O&amp;M score'!G24,0)</f>
        <v/>
      </c>
      <c r="J27" s="6" t="str">
        <f>IFERROR('Metering Ratio Score'!F24,0)</f>
        <v/>
      </c>
      <c r="K27" s="12" t="str">
        <f>IFERROR('Grievance Addressal'!E24,0)</f>
        <v xml:space="preserve"> </v>
      </c>
      <c r="L27" s="4" t="e">
        <f t="shared" si="2"/>
        <v>#VALUE!</v>
      </c>
      <c r="M27" s="24" t="e">
        <f t="shared" si="3"/>
        <v>#VALUE!</v>
      </c>
      <c r="N27" s="25" t="e">
        <f t="shared" si="4"/>
        <v>#VALUE!</v>
      </c>
    </row>
    <row r="28" spans="1:14" ht="44.4" customHeight="1" x14ac:dyDescent="0.3">
      <c r="A28" s="15">
        <f t="shared" si="0"/>
        <v>24</v>
      </c>
      <c r="B28" s="4" t="str">
        <f>IFERROR(Spatial!B25,"")</f>
        <v>Jwalamukhi Rural Water Sanitation and Hygine Management Board</v>
      </c>
      <c r="C28" s="6" t="str">
        <f>IFERROR('Service Coverage'!G25,0)</f>
        <v/>
      </c>
      <c r="D28" s="6" t="str">
        <f>IFERROR(Adequacy!J25,0)</f>
        <v/>
      </c>
      <c r="E28" s="6">
        <f>IFERROR('Water Quality Score'!F25,0)</f>
        <v>0.2</v>
      </c>
      <c r="F28" s="6">
        <f>IFERROR('Reliability score'!D25,0)</f>
        <v>1</v>
      </c>
      <c r="G28" s="4" t="e">
        <f t="shared" si="1"/>
        <v>#VALUE!</v>
      </c>
      <c r="H28" s="6">
        <f>IFERROR(NRW!H25,0)</f>
        <v>0</v>
      </c>
      <c r="I28" s="5">
        <f>IFERROR('O&amp;M score'!G25,0)</f>
        <v>0.85551534076124236</v>
      </c>
      <c r="J28" s="6" t="str">
        <f>IFERROR('Metering Ratio Score'!F25,0)</f>
        <v/>
      </c>
      <c r="K28" s="12" t="str">
        <f>IFERROR('Grievance Addressal'!E25,0)</f>
        <v xml:space="preserve"> </v>
      </c>
      <c r="L28" s="4" t="e">
        <f t="shared" si="2"/>
        <v>#VALUE!</v>
      </c>
      <c r="M28" s="24" t="e">
        <f t="shared" si="3"/>
        <v>#VALUE!</v>
      </c>
      <c r="N28" s="25" t="e">
        <f t="shared" si="4"/>
        <v>#VALUE!</v>
      </c>
    </row>
    <row r="29" spans="1:14" ht="44.4" customHeight="1" x14ac:dyDescent="0.3">
      <c r="A29" s="15">
        <f t="shared" si="0"/>
        <v>25</v>
      </c>
      <c r="B29" s="4" t="str">
        <f>IFERROR(Spatial!B26,"")</f>
        <v>Mulkhola_Thakre_WSUC</v>
      </c>
      <c r="C29" s="6" t="str">
        <f>IFERROR('Service Coverage'!G26,0)</f>
        <v/>
      </c>
      <c r="D29" s="6" t="str">
        <f>IFERROR(Adequacy!J26,0)</f>
        <v/>
      </c>
      <c r="E29" s="6">
        <f>IFERROR('Water Quality Score'!F26,0)</f>
        <v>0</v>
      </c>
      <c r="F29" s="6">
        <f>IFERROR('Reliability score'!D26,0)</f>
        <v>1</v>
      </c>
      <c r="G29" s="4" t="e">
        <f t="shared" si="1"/>
        <v>#VALUE!</v>
      </c>
      <c r="H29" s="6">
        <f>IFERROR(NRW!H26,0)</f>
        <v>0</v>
      </c>
      <c r="I29" s="5" t="str">
        <f>IFERROR('O&amp;M score'!G26,0)</f>
        <v/>
      </c>
      <c r="J29" s="6" t="str">
        <f>IFERROR('Metering Ratio Score'!F26,0)</f>
        <v/>
      </c>
      <c r="K29" s="12" t="str">
        <f>IFERROR('Grievance Addressal'!E26,0)</f>
        <v xml:space="preserve"> </v>
      </c>
      <c r="L29" s="4" t="e">
        <f t="shared" si="2"/>
        <v>#VALUE!</v>
      </c>
      <c r="M29" s="24" t="e">
        <f t="shared" si="3"/>
        <v>#VALUE!</v>
      </c>
      <c r="N29" s="25" t="e">
        <f t="shared" si="4"/>
        <v>#VALUE!</v>
      </c>
    </row>
    <row r="30" spans="1:14" ht="44.4" customHeight="1" x14ac:dyDescent="0.3">
      <c r="A30" s="15">
        <f t="shared" si="0"/>
        <v>26</v>
      </c>
      <c r="B30" s="4" t="str">
        <f>IFERROR(Spatial!B27,"")</f>
        <v xml:space="preserve">Belung_Salyankot_WSUC </v>
      </c>
      <c r="C30" s="6" t="str">
        <f>IFERROR('Service Coverage'!G27,0)</f>
        <v/>
      </c>
      <c r="D30" s="6" t="str">
        <f>IFERROR(Adequacy!J27,0)</f>
        <v/>
      </c>
      <c r="E30" s="6">
        <f>IFERROR('Water Quality Score'!F27,0)</f>
        <v>0</v>
      </c>
      <c r="F30" s="6">
        <f>IFERROR('Reliability score'!D27,0)</f>
        <v>0.85714285714285721</v>
      </c>
      <c r="G30" s="4" t="e">
        <f t="shared" si="1"/>
        <v>#VALUE!</v>
      </c>
      <c r="H30" s="6">
        <f>IFERROR(NRW!H27,0)</f>
        <v>0</v>
      </c>
      <c r="I30" s="5">
        <f>IFERROR('O&amp;M score'!G27,0)</f>
        <v>0</v>
      </c>
      <c r="J30" s="6" t="str">
        <f>IFERROR('Metering Ratio Score'!F27,0)</f>
        <v/>
      </c>
      <c r="K30" s="12" t="str">
        <f>IFERROR('Grievance Addressal'!E27,0)</f>
        <v xml:space="preserve"> </v>
      </c>
      <c r="L30" s="4" t="e">
        <f t="shared" si="2"/>
        <v>#VALUE!</v>
      </c>
      <c r="M30" s="24" t="e">
        <f t="shared" si="3"/>
        <v>#VALUE!</v>
      </c>
      <c r="N30" s="25" t="e">
        <f t="shared" si="4"/>
        <v>#VALUE!</v>
      </c>
    </row>
    <row r="31" spans="1:14" ht="44.4" customHeight="1" x14ac:dyDescent="0.3">
      <c r="A31" s="15">
        <f t="shared" si="0"/>
        <v>27</v>
      </c>
      <c r="B31" s="4" t="str">
        <f>IFERROR(Spatial!B28,"")</f>
        <v xml:space="preserve"> Anandaban Sankarnagar Water supply user and sanitation Accociation</v>
      </c>
      <c r="C31" s="6" t="str">
        <f>IFERROR('Service Coverage'!G28,0)</f>
        <v/>
      </c>
      <c r="D31" s="6" t="str">
        <f>IFERROR(Adequacy!J28,0)</f>
        <v/>
      </c>
      <c r="E31" s="6">
        <f>IFERROR('Water Quality Score'!F28,0)</f>
        <v>0.2</v>
      </c>
      <c r="F31" s="6">
        <f>IFERROR('Reliability score'!D28,0)</f>
        <v>1</v>
      </c>
      <c r="G31" s="4" t="e">
        <f t="shared" si="1"/>
        <v>#VALUE!</v>
      </c>
      <c r="H31" s="6">
        <f>IFERROR(NRW!H28,0)</f>
        <v>0</v>
      </c>
      <c r="I31" s="5">
        <f>IFERROR('O&amp;M score'!G28,0)</f>
        <v>1</v>
      </c>
      <c r="J31" s="6" t="str">
        <f>IFERROR('Metering Ratio Score'!F28,0)</f>
        <v/>
      </c>
      <c r="K31" s="12" t="str">
        <f>IFERROR('Grievance Addressal'!E28,0)</f>
        <v xml:space="preserve"> </v>
      </c>
      <c r="L31" s="4" t="e">
        <f t="shared" si="2"/>
        <v>#VALUE!</v>
      </c>
      <c r="M31" s="24" t="e">
        <f t="shared" si="3"/>
        <v>#VALUE!</v>
      </c>
      <c r="N31" s="25" t="e">
        <f t="shared" si="4"/>
        <v>#VALUE!</v>
      </c>
    </row>
    <row r="32" spans="1:14" ht="44.4" customHeight="1" x14ac:dyDescent="0.3">
      <c r="A32" s="15">
        <f t="shared" si="0"/>
        <v>28</v>
      </c>
      <c r="B32" s="4" t="str">
        <f>IFERROR(Spatial!B29,"")</f>
        <v>Mahadevsthan_Matatirtha_WSUC</v>
      </c>
      <c r="C32" s="6" t="str">
        <f>IFERROR('Service Coverage'!G29,0)</f>
        <v/>
      </c>
      <c r="D32" s="6" t="str">
        <f>IFERROR(Adequacy!J29,0)</f>
        <v/>
      </c>
      <c r="E32" s="6">
        <f>IFERROR('Water Quality Score'!F29,0)</f>
        <v>0</v>
      </c>
      <c r="F32" s="6" t="str">
        <f>IFERROR('Reliability score'!D29,0)</f>
        <v xml:space="preserve"> </v>
      </c>
      <c r="G32" s="4" t="e">
        <f t="shared" si="1"/>
        <v>#VALUE!</v>
      </c>
      <c r="H32" s="6">
        <f>IFERROR(NRW!H29,0)</f>
        <v>0</v>
      </c>
      <c r="I32" s="5" t="str">
        <f>IFERROR('O&amp;M score'!G29,0)</f>
        <v/>
      </c>
      <c r="J32" s="6" t="str">
        <f>IFERROR('Metering Ratio Score'!F29,0)</f>
        <v/>
      </c>
      <c r="K32" s="12" t="str">
        <f>IFERROR('Grievance Addressal'!E29,0)</f>
        <v xml:space="preserve"> </v>
      </c>
      <c r="L32" s="4" t="e">
        <f t="shared" si="2"/>
        <v>#VALUE!</v>
      </c>
      <c r="M32" s="24" t="e">
        <f t="shared" si="3"/>
        <v>#VALUE!</v>
      </c>
      <c r="N32" s="25" t="e">
        <f t="shared" si="4"/>
        <v>#VALUE!</v>
      </c>
    </row>
    <row r="33" spans="1:14" ht="44.4" customHeight="1" x14ac:dyDescent="0.3">
      <c r="A33" s="15">
        <f t="shared" si="0"/>
        <v>29</v>
      </c>
      <c r="B33" s="4" t="str">
        <f>IFERROR(Spatial!B30,"")</f>
        <v>Dudhikot_Brihat_WSUC</v>
      </c>
      <c r="C33" s="6" t="str">
        <f>IFERROR('Service Coverage'!G30,0)</f>
        <v/>
      </c>
      <c r="D33" s="6" t="str">
        <f>IFERROR(Adequacy!J30,0)</f>
        <v/>
      </c>
      <c r="E33" s="6">
        <f>IFERROR('Water Quality Score'!F30,0)</f>
        <v>0.2</v>
      </c>
      <c r="F33" s="6" t="str">
        <f>IFERROR('Reliability score'!D30,0)</f>
        <v xml:space="preserve"> </v>
      </c>
      <c r="G33" s="4" t="e">
        <f t="shared" si="1"/>
        <v>#VALUE!</v>
      </c>
      <c r="H33" s="6">
        <f>IFERROR(NRW!H30,0)</f>
        <v>0</v>
      </c>
      <c r="I33" s="5" t="str">
        <f>IFERROR('O&amp;M score'!G30,0)</f>
        <v/>
      </c>
      <c r="J33" s="6" t="str">
        <f>IFERROR('Metering Ratio Score'!F30,0)</f>
        <v/>
      </c>
      <c r="K33" s="12" t="str">
        <f>IFERROR('Grievance Addressal'!E30,0)</f>
        <v xml:space="preserve"> </v>
      </c>
      <c r="L33" s="4" t="e">
        <f t="shared" si="2"/>
        <v>#VALUE!</v>
      </c>
      <c r="M33" s="24" t="e">
        <f t="shared" si="3"/>
        <v>#VALUE!</v>
      </c>
      <c r="N33" s="25" t="e">
        <f t="shared" si="4"/>
        <v>#VALUE!</v>
      </c>
    </row>
    <row r="34" spans="1:14" ht="44.4" customHeight="1" x14ac:dyDescent="0.3">
      <c r="A34" s="15">
        <f t="shared" si="0"/>
        <v>30</v>
      </c>
      <c r="B34" s="4" t="str">
        <f>IFERROR(Spatial!B31,"")</f>
        <v>Diktel_WSUC</v>
      </c>
      <c r="C34" s="6" t="str">
        <f>IFERROR('Service Coverage'!G31,0)</f>
        <v/>
      </c>
      <c r="D34" s="6" t="str">
        <f>IFERROR(Adequacy!J31,0)</f>
        <v/>
      </c>
      <c r="E34" s="6">
        <f>IFERROR('Water Quality Score'!F31,0)</f>
        <v>0.2</v>
      </c>
      <c r="F34" s="6" t="str">
        <f>IFERROR('Reliability score'!D31,0)</f>
        <v xml:space="preserve"> </v>
      </c>
      <c r="G34" s="4" t="e">
        <f t="shared" si="1"/>
        <v>#VALUE!</v>
      </c>
      <c r="H34" s="6">
        <f>IFERROR(NRW!H31,0)</f>
        <v>0</v>
      </c>
      <c r="I34" s="5" t="str">
        <f>IFERROR('O&amp;M score'!G31,0)</f>
        <v/>
      </c>
      <c r="J34" s="6" t="str">
        <f>IFERROR('Metering Ratio Score'!F31,0)</f>
        <v/>
      </c>
      <c r="K34" s="12" t="str">
        <f>IFERROR('Grievance Addressal'!E31,0)</f>
        <v xml:space="preserve"> </v>
      </c>
      <c r="L34" s="4" t="e">
        <f t="shared" si="2"/>
        <v>#VALUE!</v>
      </c>
      <c r="M34" s="24" t="e">
        <f t="shared" si="3"/>
        <v>#VALUE!</v>
      </c>
      <c r="N34" s="25" t="e">
        <f t="shared" si="4"/>
        <v>#VALUE!</v>
      </c>
    </row>
    <row r="35" spans="1:14" ht="44.4" customHeight="1" x14ac:dyDescent="0.3">
      <c r="A35" s="15">
        <f t="shared" si="0"/>
        <v>31</v>
      </c>
      <c r="B35" s="4" t="str">
        <f>IFERROR(Spatial!B32,"")</f>
        <v>Shuvaghat_WSUC</v>
      </c>
      <c r="C35" s="6" t="str">
        <f>IFERROR('Service Coverage'!G32,0)</f>
        <v/>
      </c>
      <c r="D35" s="6" t="str">
        <f>IFERROR(Adequacy!J32,0)</f>
        <v/>
      </c>
      <c r="E35" s="6">
        <f>IFERROR('Water Quality Score'!F32,0)</f>
        <v>0.2</v>
      </c>
      <c r="F35" s="6" t="str">
        <f>IFERROR('Reliability score'!D32,0)</f>
        <v xml:space="preserve"> </v>
      </c>
      <c r="G35" s="4" t="e">
        <f t="shared" si="1"/>
        <v>#VALUE!</v>
      </c>
      <c r="H35" s="6">
        <f>IFERROR(NRW!H32,0)</f>
        <v>0</v>
      </c>
      <c r="I35" s="5" t="str">
        <f>IFERROR('O&amp;M score'!G32,0)</f>
        <v/>
      </c>
      <c r="J35" s="6" t="str">
        <f>IFERROR('Metering Ratio Score'!F32,0)</f>
        <v/>
      </c>
      <c r="K35" s="12" t="str">
        <f>IFERROR('Grievance Addressal'!E32,0)</f>
        <v xml:space="preserve"> </v>
      </c>
      <c r="L35" s="4" t="e">
        <f t="shared" si="2"/>
        <v>#VALUE!</v>
      </c>
      <c r="M35" s="24" t="e">
        <f t="shared" si="3"/>
        <v>#VALUE!</v>
      </c>
      <c r="N35" s="25" t="e">
        <f t="shared" si="4"/>
        <v>#VALUE!</v>
      </c>
    </row>
    <row r="36" spans="1:14" ht="44.4" customHeight="1" x14ac:dyDescent="0.3">
      <c r="A36" s="15">
        <f t="shared" si="0"/>
        <v>32</v>
      </c>
      <c r="B36" s="4" t="str">
        <f>IFERROR(Spatial!B33,"")</f>
        <v>Shivanagar_WSUC</v>
      </c>
      <c r="C36" s="6" t="str">
        <f>IFERROR('Service Coverage'!G33,0)</f>
        <v/>
      </c>
      <c r="D36" s="6" t="str">
        <f>IFERROR(Adequacy!J33,0)</f>
        <v/>
      </c>
      <c r="E36" s="6">
        <f>IFERROR('Water Quality Score'!F33,0)</f>
        <v>0.2</v>
      </c>
      <c r="F36" s="6" t="str">
        <f>IFERROR('Reliability score'!D33,0)</f>
        <v xml:space="preserve"> </v>
      </c>
      <c r="G36" s="4" t="e">
        <f t="shared" si="1"/>
        <v>#VALUE!</v>
      </c>
      <c r="H36" s="6">
        <f>IFERROR(NRW!H33,0)</f>
        <v>0</v>
      </c>
      <c r="I36" s="5" t="str">
        <f>IFERROR('O&amp;M score'!G33,0)</f>
        <v/>
      </c>
      <c r="J36" s="6" t="str">
        <f>IFERROR('Metering Ratio Score'!F33,0)</f>
        <v/>
      </c>
      <c r="K36" s="12" t="str">
        <f>IFERROR('Grievance Addressal'!E33,0)</f>
        <v xml:space="preserve"> </v>
      </c>
      <c r="L36" s="4" t="e">
        <f t="shared" si="2"/>
        <v>#VALUE!</v>
      </c>
      <c r="M36" s="24" t="e">
        <f t="shared" si="3"/>
        <v>#VALUE!</v>
      </c>
      <c r="N36" s="25" t="e">
        <f t="shared" si="4"/>
        <v>#VALUE!</v>
      </c>
    </row>
    <row r="37" spans="1:14" ht="44.4" customHeight="1" x14ac:dyDescent="0.3">
      <c r="A37" s="15">
        <f t="shared" si="0"/>
        <v>33</v>
      </c>
      <c r="B37" s="4" t="str">
        <f>IFERROR(Spatial!B34,"")</f>
        <v>Kusma_WSUC</v>
      </c>
      <c r="C37" s="6" t="str">
        <f>IFERROR('Service Coverage'!G34,0)</f>
        <v/>
      </c>
      <c r="D37" s="6" t="str">
        <f>IFERROR(Adequacy!J34,0)</f>
        <v/>
      </c>
      <c r="E37" s="6">
        <f>IFERROR('Water Quality Score'!F34,0)</f>
        <v>0.2</v>
      </c>
      <c r="F37" s="6" t="str">
        <f>IFERROR('Reliability score'!D34,0)</f>
        <v xml:space="preserve"> </v>
      </c>
      <c r="G37" s="4" t="e">
        <f t="shared" si="1"/>
        <v>#VALUE!</v>
      </c>
      <c r="H37" s="6">
        <f>IFERROR(NRW!H34,0)</f>
        <v>0</v>
      </c>
      <c r="I37" s="5" t="str">
        <f>IFERROR('O&amp;M score'!G34,0)</f>
        <v/>
      </c>
      <c r="J37" s="6" t="str">
        <f>IFERROR('Metering Ratio Score'!F34,0)</f>
        <v/>
      </c>
      <c r="K37" s="12" t="str">
        <f>IFERROR('Grievance Addressal'!E34,0)</f>
        <v xml:space="preserve"> </v>
      </c>
      <c r="L37" s="4" t="e">
        <f t="shared" si="2"/>
        <v>#VALUE!</v>
      </c>
      <c r="M37" s="24" t="e">
        <f t="shared" si="3"/>
        <v>#VALUE!</v>
      </c>
      <c r="N37" s="25" t="e">
        <f t="shared" si="4"/>
        <v>#VALUE!</v>
      </c>
    </row>
    <row r="38" spans="1:14" ht="44.4" customHeight="1" x14ac:dyDescent="0.3">
      <c r="A38" s="15">
        <f t="shared" si="0"/>
        <v>34</v>
      </c>
      <c r="B38" s="4" t="str">
        <f>IFERROR(Spatial!B35,"")</f>
        <v>Ghorahi_WSUC</v>
      </c>
      <c r="C38" s="6" t="str">
        <f>IFERROR('Service Coverage'!G35,0)</f>
        <v/>
      </c>
      <c r="D38" s="6" t="str">
        <f>IFERROR(Adequacy!J35,0)</f>
        <v/>
      </c>
      <c r="E38" s="6">
        <f>IFERROR('Water Quality Score'!F35,0)</f>
        <v>0.2</v>
      </c>
      <c r="F38" s="6" t="str">
        <f>IFERROR('Reliability score'!D35,0)</f>
        <v xml:space="preserve"> </v>
      </c>
      <c r="G38" s="4" t="e">
        <f t="shared" si="1"/>
        <v>#VALUE!</v>
      </c>
      <c r="H38" s="6">
        <f>IFERROR(NRW!H35,0)</f>
        <v>0</v>
      </c>
      <c r="I38" s="5" t="str">
        <f>IFERROR('O&amp;M score'!G35,0)</f>
        <v/>
      </c>
      <c r="J38" s="6" t="str">
        <f>IFERROR('Metering Ratio Score'!F35,0)</f>
        <v/>
      </c>
      <c r="K38" s="12" t="str">
        <f>IFERROR('Grievance Addressal'!E35,0)</f>
        <v xml:space="preserve"> </v>
      </c>
      <c r="L38" s="4" t="e">
        <f t="shared" si="2"/>
        <v>#VALUE!</v>
      </c>
      <c r="M38" s="24" t="e">
        <f t="shared" si="3"/>
        <v>#VALUE!</v>
      </c>
      <c r="N38" s="25" t="e">
        <f t="shared" si="4"/>
        <v>#VALUE!</v>
      </c>
    </row>
    <row r="39" spans="1:14" ht="44.4" customHeight="1" x14ac:dyDescent="0.3">
      <c r="A39" s="15">
        <f t="shared" si="0"/>
        <v>35</v>
      </c>
      <c r="B39" s="4" t="str">
        <f>IFERROR(Spatial!B36,"")</f>
        <v>Yasok Sukkha Area Tamor Pumping_WSUC</v>
      </c>
      <c r="C39" s="6">
        <f>IFERROR('Service Coverage'!G36,0)</f>
        <v>0.20131618306909971</v>
      </c>
      <c r="D39" s="6">
        <f>IFERROR(Adequacy!J36,0)</f>
        <v>0.78021978021978022</v>
      </c>
      <c r="E39" s="6">
        <f>IFERROR('Water Quality Score'!F36,0)</f>
        <v>1</v>
      </c>
      <c r="F39" s="6">
        <f>IFERROR('Reliability score'!D36,0)</f>
        <v>0.5</v>
      </c>
      <c r="G39" s="4">
        <f t="shared" si="1"/>
        <v>65.599999999999994</v>
      </c>
      <c r="H39" s="6">
        <f>IFERROR(NRW!H36,0)</f>
        <v>0</v>
      </c>
      <c r="I39" s="5">
        <f>IFERROR('O&amp;M score'!G36,0)</f>
        <v>0.51836280006635449</v>
      </c>
      <c r="J39" s="6">
        <f>IFERROR('Metering Ratio Score'!F36,0)</f>
        <v>0.27437641723356021</v>
      </c>
      <c r="K39" s="12">
        <f>IFERROR('Grievance Addressal'!E36,0)</f>
        <v>1</v>
      </c>
      <c r="L39" s="4">
        <f t="shared" si="2"/>
        <v>43.4</v>
      </c>
      <c r="M39" s="24">
        <f t="shared" si="3"/>
        <v>7</v>
      </c>
      <c r="N39" s="25" t="str">
        <f t="shared" si="4"/>
        <v>7. Inactive — Functioning Level</v>
      </c>
    </row>
    <row r="40" spans="1:14" ht="44.4" customHeight="1" x14ac:dyDescent="0.3">
      <c r="A40" s="15">
        <f t="shared" si="0"/>
        <v>36</v>
      </c>
      <c r="B40" s="4" t="str">
        <f>IFERROR(Spatial!B37,"")</f>
        <v>Phidim_WSUC</v>
      </c>
      <c r="C40" s="6">
        <f>IFERROR('Service Coverage'!G37,0)</f>
        <v>0.42263279445727486</v>
      </c>
      <c r="D40" s="6">
        <f>IFERROR(Adequacy!J37,0)</f>
        <v>1</v>
      </c>
      <c r="E40" s="6">
        <f>IFERROR('Water Quality Score'!F37,0)</f>
        <v>1</v>
      </c>
      <c r="F40" s="6">
        <f>IFERROR('Reliability score'!D37,0)</f>
        <v>0</v>
      </c>
      <c r="G40" s="4">
        <f t="shared" si="1"/>
        <v>65.599999999999994</v>
      </c>
      <c r="H40" s="6">
        <f>IFERROR(NRW!H37,0)</f>
        <v>0</v>
      </c>
      <c r="I40" s="5">
        <f>IFERROR('O&amp;M score'!G37,0)</f>
        <v>0</v>
      </c>
      <c r="J40" s="6">
        <f>IFERROR('Metering Ratio Score'!F37,0)</f>
        <v>1</v>
      </c>
      <c r="K40" s="12">
        <f>IFERROR('Grievance Addressal'!E37,0)</f>
        <v>1</v>
      </c>
      <c r="L40" s="4">
        <f t="shared" si="2"/>
        <v>45</v>
      </c>
      <c r="M40" s="24">
        <f t="shared" si="3"/>
        <v>7</v>
      </c>
      <c r="N40" s="25" t="str">
        <f t="shared" si="4"/>
        <v>7. Inactive — Functioning Level</v>
      </c>
    </row>
    <row r="41" spans="1:14" ht="44.4" customHeight="1" x14ac:dyDescent="0.3">
      <c r="A41" s="15">
        <f t="shared" si="0"/>
        <v>37</v>
      </c>
      <c r="B41" s="4" t="str">
        <f>IFERROR(Spatial!B38,"")</f>
        <v>Taplejung_WSUC</v>
      </c>
      <c r="C41" s="6">
        <f>IFERROR('Service Coverage'!G38,0)</f>
        <v>0.70125786163522008</v>
      </c>
      <c r="D41" s="6">
        <f>IFERROR(Adequacy!J38,0)</f>
        <v>0.18180032499419654</v>
      </c>
      <c r="E41" s="6">
        <f>IFERROR('Water Quality Score'!F38,0)</f>
        <v>1</v>
      </c>
      <c r="F41" s="6">
        <f>IFERROR('Reliability score'!D38,0)</f>
        <v>0.54761904761904767</v>
      </c>
      <c r="G41" s="4">
        <f t="shared" si="1"/>
        <v>67.099999999999994</v>
      </c>
      <c r="H41" s="6">
        <f>IFERROR(NRW!H38,0)</f>
        <v>0</v>
      </c>
      <c r="I41" s="5">
        <f>IFERROR('O&amp;M score'!G38,0)</f>
        <v>0.52080536912751674</v>
      </c>
      <c r="J41" s="6">
        <f>IFERROR('Metering Ratio Score'!F38,0)</f>
        <v>1</v>
      </c>
      <c r="K41" s="12">
        <f>IFERROR('Grievance Addressal'!E38,0)</f>
        <v>1</v>
      </c>
      <c r="L41" s="4">
        <f t="shared" si="2"/>
        <v>58</v>
      </c>
      <c r="M41" s="24">
        <f t="shared" si="3"/>
        <v>5</v>
      </c>
      <c r="N41" s="25" t="str">
        <f t="shared" si="4"/>
        <v>5. Improving — Improving Level</v>
      </c>
    </row>
    <row r="42" spans="1:14" ht="44.4" customHeight="1" x14ac:dyDescent="0.3">
      <c r="A42" s="15">
        <f t="shared" si="0"/>
        <v>38</v>
      </c>
      <c r="B42" s="4" t="str">
        <f>IFERROR(Spatial!B39,"")</f>
        <v>Ilam Bazaar Urban_WSUC</v>
      </c>
      <c r="C42" s="6">
        <f>IFERROR('Service Coverage'!G39,0)</f>
        <v>0.7</v>
      </c>
      <c r="D42" s="6">
        <f>IFERROR(Adequacy!J39,0)</f>
        <v>0.90358126721763099</v>
      </c>
      <c r="E42" s="6">
        <f>IFERROR('Water Quality Score'!F39,0)</f>
        <v>1</v>
      </c>
      <c r="F42" s="6">
        <f>IFERROR('Reliability score'!D39,0)</f>
        <v>0.61904761904761907</v>
      </c>
      <c r="G42" s="4">
        <f t="shared" si="1"/>
        <v>83</v>
      </c>
      <c r="H42" s="6">
        <f>IFERROR(NRW!H39,0)</f>
        <v>0</v>
      </c>
      <c r="I42" s="5">
        <f>IFERROR('O&amp;M score'!G39,0)</f>
        <v>0.45714285714285707</v>
      </c>
      <c r="J42" s="6">
        <f>IFERROR('Metering Ratio Score'!F39,0)</f>
        <v>1</v>
      </c>
      <c r="K42" s="12">
        <f>IFERROR('Grievance Addressal'!E39,0)</f>
        <v>1</v>
      </c>
      <c r="L42" s="4">
        <f t="shared" si="2"/>
        <v>56.4</v>
      </c>
      <c r="M42" s="24">
        <f t="shared" si="3"/>
        <v>5</v>
      </c>
      <c r="N42" s="25" t="str">
        <f t="shared" si="4"/>
        <v>5. Improving — Improving Level</v>
      </c>
    </row>
    <row r="43" spans="1:14" ht="44.4" customHeight="1" x14ac:dyDescent="0.3">
      <c r="A43" s="15">
        <f t="shared" si="0"/>
        <v>39</v>
      </c>
      <c r="B43" s="4" t="str">
        <f>IFERROR(Spatial!B40,"")</f>
        <v>Dhankuta_WSUC</v>
      </c>
      <c r="C43" s="6">
        <f>IFERROR('Service Coverage'!G40,0)</f>
        <v>0.75577478344562077</v>
      </c>
      <c r="D43" s="6">
        <f>IFERROR(Adequacy!J40,0)</f>
        <v>0</v>
      </c>
      <c r="E43" s="6">
        <f>IFERROR('Water Quality Score'!F40,0)</f>
        <v>1</v>
      </c>
      <c r="F43" s="6">
        <f>IFERROR('Reliability score'!D40,0)</f>
        <v>0.5</v>
      </c>
      <c r="G43" s="4">
        <f t="shared" si="1"/>
        <v>63.9</v>
      </c>
      <c r="H43" s="6">
        <f>IFERROR(NRW!H40,0)</f>
        <v>0.3</v>
      </c>
      <c r="I43" s="5">
        <f>IFERROR('O&amp;M score'!G40,0)</f>
        <v>0.39086757990867582</v>
      </c>
      <c r="J43" s="6">
        <f>IFERROR('Metering Ratio Score'!F40,0)</f>
        <v>1</v>
      </c>
      <c r="K43" s="12">
        <f>IFERROR('Grievance Addressal'!E40,0)</f>
        <v>1</v>
      </c>
      <c r="L43" s="4">
        <f t="shared" si="2"/>
        <v>63.8</v>
      </c>
      <c r="M43" s="24">
        <f t="shared" si="3"/>
        <v>5</v>
      </c>
      <c r="N43" s="25" t="str">
        <f t="shared" si="4"/>
        <v>5. Improving — Improving Level</v>
      </c>
    </row>
    <row r="44" spans="1:14" ht="44.4" customHeight="1" x14ac:dyDescent="0.3">
      <c r="A44" s="15">
        <f t="shared" si="0"/>
        <v>40</v>
      </c>
      <c r="B44" s="4" t="str">
        <f>IFERROR(Spatial!B41,"")</f>
        <v>Khandbari_WSUC</v>
      </c>
      <c r="C44" s="6">
        <f>IFERROR('Service Coverage'!G41,0)</f>
        <v>0.42366882117574639</v>
      </c>
      <c r="D44" s="6">
        <f>IFERROR(Adequacy!J41,0)</f>
        <v>0.15151515151515155</v>
      </c>
      <c r="E44" s="6">
        <f>IFERROR('Water Quality Score'!F41,0)</f>
        <v>1</v>
      </c>
      <c r="F44" s="6">
        <f>IFERROR('Reliability score'!D41,0)</f>
        <v>0.5</v>
      </c>
      <c r="G44" s="4">
        <f t="shared" si="1"/>
        <v>58.6</v>
      </c>
      <c r="H44" s="6">
        <f>IFERROR(NRW!H41,0)</f>
        <v>0</v>
      </c>
      <c r="I44" s="5">
        <f>IFERROR('O&amp;M score'!G41,0)</f>
        <v>0</v>
      </c>
      <c r="J44" s="6">
        <f>IFERROR('Metering Ratio Score'!F41,0)</f>
        <v>0.85</v>
      </c>
      <c r="K44" s="12">
        <f>IFERROR('Grievance Addressal'!E41,0)</f>
        <v>1</v>
      </c>
      <c r="L44" s="4">
        <f t="shared" si="2"/>
        <v>42</v>
      </c>
      <c r="M44" s="24">
        <f t="shared" si="3"/>
        <v>7</v>
      </c>
      <c r="N44" s="25" t="str">
        <f t="shared" si="4"/>
        <v>7. Inactive — Functioning Level</v>
      </c>
    </row>
    <row r="45" spans="1:14" ht="44.4" customHeight="1" x14ac:dyDescent="0.3">
      <c r="A45" s="15">
        <f t="shared" si="0"/>
        <v>41</v>
      </c>
      <c r="B45" s="4" t="str">
        <f>IFERROR(Spatial!B42,"")</f>
        <v>Halesi Area Khotang Large Pumping</v>
      </c>
      <c r="C45" s="6">
        <f>IFERROR('Service Coverage'!G42,0)</f>
        <v>0</v>
      </c>
      <c r="D45" s="6">
        <f>IFERROR(Adequacy!J42,0)</f>
        <v>0</v>
      </c>
      <c r="E45" s="6">
        <f>IFERROR('Water Quality Score'!F42,0)</f>
        <v>0</v>
      </c>
      <c r="F45" s="6">
        <f>IFERROR('Reliability score'!D42,0)</f>
        <v>0.5</v>
      </c>
      <c r="G45" s="4">
        <f t="shared" si="1"/>
        <v>10</v>
      </c>
      <c r="H45" s="6">
        <f>IFERROR(NRW!H42,0)</f>
        <v>0.1</v>
      </c>
      <c r="I45" s="5">
        <f>IFERROR('O&amp;M score'!G42,0)</f>
        <v>0</v>
      </c>
      <c r="J45" s="6">
        <f>IFERROR('Metering Ratio Score'!F42,0)</f>
        <v>1</v>
      </c>
      <c r="K45" s="12">
        <f>IFERROR('Grievance Addressal'!E42,0)</f>
        <v>1</v>
      </c>
      <c r="L45" s="4">
        <f t="shared" si="2"/>
        <v>48</v>
      </c>
      <c r="M45" s="24">
        <f t="shared" si="3"/>
        <v>8</v>
      </c>
      <c r="N45" s="25" t="str">
        <f t="shared" si="4"/>
        <v>8. Poor — Functioning Level</v>
      </c>
    </row>
    <row r="46" spans="1:14" ht="44.4" customHeight="1" x14ac:dyDescent="0.3">
      <c r="A46" s="15">
        <f t="shared" si="0"/>
        <v>42</v>
      </c>
      <c r="B46" s="4" t="str">
        <f>IFERROR(Spatial!B43,"")</f>
        <v>Kakarvitta_WSUC</v>
      </c>
      <c r="C46" s="6">
        <f>IFERROR('Service Coverage'!G43,0)</f>
        <v>0.60760712566201247</v>
      </c>
      <c r="D46" s="6" t="str">
        <f>IFERROR(Adequacy!J43,0)</f>
        <v/>
      </c>
      <c r="E46" s="6">
        <f>IFERROR('Water Quality Score'!F43,0)</f>
        <v>0.2</v>
      </c>
      <c r="F46" s="6">
        <f>IFERROR('Reliability score'!D43,0)</f>
        <v>1</v>
      </c>
      <c r="G46" s="4" t="e">
        <f t="shared" si="1"/>
        <v>#VALUE!</v>
      </c>
      <c r="H46" s="6">
        <f>IFERROR(NRW!H43,0)</f>
        <v>0.2</v>
      </c>
      <c r="I46" s="5">
        <f>IFERROR('O&amp;M score'!G43,0)</f>
        <v>1</v>
      </c>
      <c r="J46" s="6">
        <f>IFERROR('Metering Ratio Score'!F42,0)</f>
        <v>1</v>
      </c>
      <c r="K46" s="12">
        <f>IFERROR('Grievance Addressal'!E43,0)</f>
        <v>1</v>
      </c>
      <c r="L46" s="4">
        <f t="shared" si="2"/>
        <v>76</v>
      </c>
      <c r="M46" s="24" t="e">
        <f t="shared" si="3"/>
        <v>#VALUE!</v>
      </c>
      <c r="N46" s="25" t="e">
        <f t="shared" si="4"/>
        <v>#VALUE!</v>
      </c>
    </row>
    <row r="47" spans="1:14" ht="44.4" customHeight="1" x14ac:dyDescent="0.3">
      <c r="A47" s="15">
        <f t="shared" si="0"/>
        <v>43</v>
      </c>
      <c r="B47" s="4" t="str">
        <f>IFERROR(Spatial!B44,"")</f>
        <v>Khalanga_WSUC</v>
      </c>
      <c r="C47" s="6">
        <f>IFERROR('Service Coverage'!G44,0)</f>
        <v>1</v>
      </c>
      <c r="D47" s="6">
        <f>IFERROR(Adequacy!J44,0)</f>
        <v>0</v>
      </c>
      <c r="E47" s="6">
        <f>IFERROR('Water Quality Score'!F44,0)</f>
        <v>1</v>
      </c>
      <c r="F47" s="6">
        <f>IFERROR('Reliability score'!D44,0)</f>
        <v>0.52380952380952384</v>
      </c>
      <c r="G47" s="4">
        <f t="shared" si="1"/>
        <v>70.5</v>
      </c>
      <c r="H47" s="6">
        <f>IFERROR(NRW!H44,0)</f>
        <v>0</v>
      </c>
      <c r="I47" s="5">
        <f>IFERROR('O&amp;M score'!G44,0)</f>
        <v>1</v>
      </c>
      <c r="J47" s="6">
        <f>IFERROR('Metering Ratio Score'!F44,0)</f>
        <v>0.94877049180327866</v>
      </c>
      <c r="K47" s="12">
        <f>IFERROR('Grievance Addressal'!E44,0)</f>
        <v>1</v>
      </c>
      <c r="L47" s="4">
        <f>ROUND((0.3*H47+0.25*K47+0.25*I47+0.2*J47)*100,1)</f>
        <v>69</v>
      </c>
      <c r="M47" s="24">
        <f t="shared" si="3"/>
        <v>5</v>
      </c>
      <c r="N47" s="25" t="str">
        <f t="shared" si="4"/>
        <v>5. Improving — Improving Level</v>
      </c>
    </row>
    <row r="48" spans="1:14" ht="44.4" customHeight="1" x14ac:dyDescent="0.3">
      <c r="A48" s="15">
        <f t="shared" si="0"/>
        <v>44</v>
      </c>
      <c r="B48" s="4" t="str">
        <f>IFERROR(Spatial!B45,"")</f>
        <v>Nala_WSUC</v>
      </c>
      <c r="C48" s="6">
        <f>IFERROR('Service Coverage'!G45,0)</f>
        <v>1</v>
      </c>
      <c r="D48" s="6" t="str">
        <f>IFERROR(Adequacy!J45,0)</f>
        <v/>
      </c>
      <c r="E48" s="6">
        <f>IFERROR('Water Quality Score'!F45,0)</f>
        <v>0.8</v>
      </c>
      <c r="F48" s="6">
        <f>IFERROR('Reliability score'!D45,0)</f>
        <v>0.5</v>
      </c>
      <c r="G48" s="4" t="e">
        <f t="shared" si="1"/>
        <v>#VALUE!</v>
      </c>
      <c r="H48" s="6">
        <f>IFERROR(NRW!H45,0)</f>
        <v>0.1</v>
      </c>
      <c r="I48" s="5">
        <f>IFERROR('O&amp;M score'!G45,0)</f>
        <v>0.71329552828804221</v>
      </c>
      <c r="J48" s="6">
        <f>IFERROR('Metering Ratio Score'!F45,0)</f>
        <v>1</v>
      </c>
      <c r="K48" s="12">
        <f>IFERROR('Grievance Addressal'!E45,0)</f>
        <v>1</v>
      </c>
      <c r="L48" s="4">
        <f>ROUND((0.3*H48+0.25*K48+0.25*I48+0.2*J48)*100,1)</f>
        <v>65.8</v>
      </c>
      <c r="M48" s="24" t="e">
        <f t="shared" si="3"/>
        <v>#VALUE!</v>
      </c>
      <c r="N48" s="25" t="e">
        <f t="shared" si="4"/>
        <v>#VALUE!</v>
      </c>
    </row>
    <row r="49" spans="1:14" ht="44.4" customHeight="1" x14ac:dyDescent="0.3">
      <c r="A49" s="15">
        <f t="shared" si="0"/>
        <v>45</v>
      </c>
      <c r="B49" s="4" t="str">
        <f>IFERROR(Spatial!B46,"")</f>
        <v>Dukuchhap_WSUC</v>
      </c>
      <c r="C49" s="6">
        <f>IFERROR('Service Coverage'!G46,0)</f>
        <v>1</v>
      </c>
      <c r="D49" s="6" t="str">
        <f>IFERROR(Adequacy!J46,0)</f>
        <v/>
      </c>
      <c r="E49" s="6">
        <f>IFERROR('Water Quality Score'!F46,0)</f>
        <v>1</v>
      </c>
      <c r="F49" s="6">
        <f>IFERROR('Reliability score'!D46,0)</f>
        <v>0.52380952380952384</v>
      </c>
      <c r="G49" s="4" t="e">
        <f t="shared" si="1"/>
        <v>#VALUE!</v>
      </c>
      <c r="H49" s="6">
        <f>IFERROR(NRW!H46,0)</f>
        <v>1</v>
      </c>
      <c r="I49" s="5">
        <f>IFERROR('O&amp;M score'!G46,0)</f>
        <v>0</v>
      </c>
      <c r="J49" s="6">
        <f>IFERROR('Metering Ratio Score'!F46,0)</f>
        <v>1</v>
      </c>
      <c r="K49" s="12">
        <f>IFERROR('Grievance Addressal'!E46,0)</f>
        <v>1</v>
      </c>
      <c r="L49" s="4">
        <f t="shared" ref="L49:L72" si="5">ROUND((0.3*H49+0.25*K49+0.25*I49+0.2*J49)*100,1)</f>
        <v>75</v>
      </c>
      <c r="M49" s="24" t="e">
        <f t="shared" si="3"/>
        <v>#VALUE!</v>
      </c>
      <c r="N49" s="25" t="e">
        <f t="shared" si="4"/>
        <v>#VALUE!</v>
      </c>
    </row>
    <row r="50" spans="1:14" ht="44.4" customHeight="1" x14ac:dyDescent="0.3">
      <c r="A50" s="15">
        <f t="shared" si="0"/>
        <v>46</v>
      </c>
      <c r="B50" s="4" t="str">
        <f>IFERROR(Spatial!B47,"")</f>
        <v>Kalitar_WSUC</v>
      </c>
      <c r="C50" s="6">
        <f>IFERROR('Service Coverage'!G47,0)</f>
        <v>1</v>
      </c>
      <c r="D50" s="6" t="str">
        <f>IFERROR(Adequacy!J47,0)</f>
        <v/>
      </c>
      <c r="E50" s="6">
        <f>IFERROR('Water Quality Score'!F47,0)</f>
        <v>1</v>
      </c>
      <c r="F50" s="6">
        <f>IFERROR('Reliability score'!D47,0)</f>
        <v>0.52380952380952384</v>
      </c>
      <c r="G50" s="4" t="e">
        <f t="shared" si="1"/>
        <v>#VALUE!</v>
      </c>
      <c r="H50" s="6">
        <f>IFERROR(NRW!H47,0)</f>
        <v>0</v>
      </c>
      <c r="I50" s="5">
        <f>IFERROR('O&amp;M score'!G47,0)</f>
        <v>1</v>
      </c>
      <c r="J50" s="6">
        <f>IFERROR('Metering Ratio Score'!F47,0)</f>
        <v>1</v>
      </c>
      <c r="K50" s="12">
        <f>IFERROR('Grievance Addressal'!E47,0)</f>
        <v>1</v>
      </c>
      <c r="L50" s="4">
        <f t="shared" si="5"/>
        <v>70</v>
      </c>
      <c r="M50" s="24" t="e">
        <f t="shared" si="3"/>
        <v>#VALUE!</v>
      </c>
      <c r="N50" s="25" t="e">
        <f t="shared" si="4"/>
        <v>#VALUE!</v>
      </c>
    </row>
    <row r="51" spans="1:14" ht="44.4" customHeight="1" x14ac:dyDescent="0.3">
      <c r="A51" s="15">
        <f t="shared" si="0"/>
        <v>47</v>
      </c>
      <c r="B51" s="4" t="str">
        <f>IFERROR(Spatial!B48,"")</f>
        <v>Jaubari Gahu Bari _WSUC</v>
      </c>
      <c r="C51" s="6">
        <f>IFERROR('Service Coverage'!G48,0)</f>
        <v>1</v>
      </c>
      <c r="D51" s="6" t="str">
        <f>IFERROR(Adequacy!J48,0)</f>
        <v/>
      </c>
      <c r="E51" s="6">
        <f>IFERROR('Water Quality Score'!F48,0)</f>
        <v>1</v>
      </c>
      <c r="F51" s="6">
        <f>IFERROR('Reliability score'!D48,0)</f>
        <v>1</v>
      </c>
      <c r="G51" s="4" t="e">
        <f t="shared" si="1"/>
        <v>#VALUE!</v>
      </c>
      <c r="H51" s="6">
        <f>IFERROR(NRW!H48,0)</f>
        <v>0.8</v>
      </c>
      <c r="I51" s="5">
        <f>IFERROR('O&amp;M score'!G48,0)</f>
        <v>0</v>
      </c>
      <c r="J51" s="6">
        <f>IFERROR('Metering Ratio Score'!F48,0)</f>
        <v>1</v>
      </c>
      <c r="K51" s="12">
        <f>IFERROR('Grievance Addressal'!E48,0)</f>
        <v>0</v>
      </c>
      <c r="L51" s="4">
        <f t="shared" si="5"/>
        <v>44</v>
      </c>
      <c r="M51" s="24" t="e">
        <f t="shared" si="3"/>
        <v>#VALUE!</v>
      </c>
      <c r="N51" s="25" t="e">
        <f t="shared" si="4"/>
        <v>#VALUE!</v>
      </c>
    </row>
    <row r="52" spans="1:14" ht="44.4" customHeight="1" x14ac:dyDescent="0.3">
      <c r="A52" s="15">
        <f t="shared" si="0"/>
        <v>48</v>
      </c>
      <c r="B52" s="4" t="str">
        <f>IFERROR(Spatial!B49,"")</f>
        <v>Lekhnath_WSUC</v>
      </c>
      <c r="C52" s="6">
        <f>IFERROR('Service Coverage'!G49,0)</f>
        <v>0.40778341793570227</v>
      </c>
      <c r="D52" s="6">
        <f>IFERROR(Adequacy!J49,0)</f>
        <v>0</v>
      </c>
      <c r="E52" s="6">
        <f>IFERROR('Water Quality Score'!F49,0)</f>
        <v>1</v>
      </c>
      <c r="F52" s="6">
        <f>IFERROR('Reliability score'!D49,0)</f>
        <v>0.76190476190476186</v>
      </c>
      <c r="G52" s="4">
        <f t="shared" si="1"/>
        <v>60.4</v>
      </c>
      <c r="H52" s="6">
        <f>IFERROR(NRW!H49,0)</f>
        <v>0</v>
      </c>
      <c r="I52" s="5">
        <f>IFERROR('O&amp;M score'!G49,0)</f>
        <v>0.43577408456439071</v>
      </c>
      <c r="J52" s="6">
        <f>IFERROR('Metering Ratio Score'!F49,0)</f>
        <v>0.98390103372309778</v>
      </c>
      <c r="K52" s="12">
        <f>IFERROR('Grievance Addressal'!E49,0)</f>
        <v>1</v>
      </c>
      <c r="L52" s="4">
        <f t="shared" si="5"/>
        <v>55.6</v>
      </c>
      <c r="M52" s="24">
        <f t="shared" si="3"/>
        <v>5</v>
      </c>
      <c r="N52" s="25" t="str">
        <f t="shared" si="4"/>
        <v>5. Improving — Improving Level</v>
      </c>
    </row>
    <row r="53" spans="1:14" ht="44.4" customHeight="1" x14ac:dyDescent="0.3">
      <c r="A53" s="15">
        <f t="shared" si="0"/>
        <v>49</v>
      </c>
      <c r="B53" s="4" t="str">
        <f>IFERROR(Spatial!B50,"")</f>
        <v>Waling_WSUC</v>
      </c>
      <c r="C53" s="6">
        <f>IFERROR('Service Coverage'!G50,0)</f>
        <v>0.1302083333333332</v>
      </c>
      <c r="D53" s="6">
        <f>IFERROR(Adequacy!J50,0)</f>
        <v>0</v>
      </c>
      <c r="E53" s="6">
        <f>IFERROR('Water Quality Score'!F50,0)</f>
        <v>1</v>
      </c>
      <c r="F53" s="6">
        <f>IFERROR('Reliability score'!D50,0)</f>
        <v>0.61904761904761907</v>
      </c>
      <c r="G53" s="4">
        <f t="shared" si="1"/>
        <v>50.6</v>
      </c>
      <c r="H53" s="6">
        <f>IFERROR(NRW!H50,0)</f>
        <v>0</v>
      </c>
      <c r="I53" s="5">
        <f>IFERROR('O&amp;M score'!G50,0)</f>
        <v>0.72804680341157391</v>
      </c>
      <c r="J53" s="6">
        <f>IFERROR('Metering Ratio Score'!F50,0)</f>
        <v>0.94728434504792358</v>
      </c>
      <c r="K53" s="12">
        <f>IFERROR('Grievance Addressal'!E50,0)</f>
        <v>1</v>
      </c>
      <c r="L53" s="4">
        <f t="shared" si="5"/>
        <v>62.1</v>
      </c>
      <c r="M53" s="24">
        <f t="shared" si="3"/>
        <v>5</v>
      </c>
      <c r="N53" s="25" t="str">
        <f t="shared" si="4"/>
        <v>5. Improving — Improving Level</v>
      </c>
    </row>
    <row r="54" spans="1:14" ht="44.4" customHeight="1" x14ac:dyDescent="0.3">
      <c r="A54" s="15">
        <f t="shared" si="0"/>
        <v>50</v>
      </c>
      <c r="B54" s="4" t="str">
        <f>IFERROR(Spatial!B51,"")</f>
        <v>Baglung_WSUC</v>
      </c>
      <c r="C54" s="6">
        <f>IFERROR('Service Coverage'!G51,0)</f>
        <v>1</v>
      </c>
      <c r="D54" s="6">
        <f>IFERROR(Adequacy!J51,0)</f>
        <v>0</v>
      </c>
      <c r="E54" s="6">
        <f>IFERROR('Water Quality Score'!F51,0)</f>
        <v>1</v>
      </c>
      <c r="F54" s="6">
        <f>IFERROR('Reliability score'!D51,0)</f>
        <v>0</v>
      </c>
      <c r="G54" s="4">
        <f t="shared" si="1"/>
        <v>60</v>
      </c>
      <c r="H54" s="6">
        <f>IFERROR(NRW!H51,0)</f>
        <v>0</v>
      </c>
      <c r="I54" s="5">
        <f>IFERROR('O&amp;M score'!G51,0)</f>
        <v>0.27330946720239035</v>
      </c>
      <c r="J54" s="6">
        <f>IFERROR('Metering Ratio Score'!F51,0)</f>
        <v>1</v>
      </c>
      <c r="K54" s="12">
        <f>IFERROR('Grievance Addressal'!E51,0)</f>
        <v>1</v>
      </c>
      <c r="L54" s="4">
        <f t="shared" si="5"/>
        <v>51.8</v>
      </c>
      <c r="M54" s="24">
        <f t="shared" si="3"/>
        <v>5</v>
      </c>
      <c r="N54" s="25" t="str">
        <f t="shared" si="4"/>
        <v>5. Improving — Improving Level</v>
      </c>
    </row>
    <row r="55" spans="1:14" ht="44.4" customHeight="1" x14ac:dyDescent="0.3">
      <c r="A55" s="15">
        <f t="shared" si="0"/>
        <v>51</v>
      </c>
      <c r="B55" s="4">
        <f>IFERROR(Spatial!B52,"")</f>
        <v>0</v>
      </c>
      <c r="C55" s="6" t="str">
        <f>IFERROR('Service Coverage'!G52,0)</f>
        <v/>
      </c>
      <c r="D55" s="6" t="str">
        <f>IFERROR(Adequacy!J52,0)</f>
        <v/>
      </c>
      <c r="E55" s="6">
        <f>IFERROR('Water Quality Score'!F52,0)</f>
        <v>0</v>
      </c>
      <c r="F55" s="6" t="str">
        <f>IFERROR('Reliability score'!D52,0)</f>
        <v xml:space="preserve"> </v>
      </c>
      <c r="G55" s="4" t="e">
        <f t="shared" si="1"/>
        <v>#VALUE!</v>
      </c>
      <c r="H55" s="6">
        <f>IFERROR(NRW!H52,0)</f>
        <v>0</v>
      </c>
      <c r="I55" s="5" t="str">
        <f>IFERROR('O&amp;M score'!G52,0)</f>
        <v/>
      </c>
      <c r="J55" s="6" t="str">
        <f>IFERROR('Metering Ratio Score'!F52,0)</f>
        <v/>
      </c>
      <c r="K55" s="12" t="str">
        <f>IFERROR('Grievance Addressal'!E52,0)</f>
        <v xml:space="preserve"> </v>
      </c>
      <c r="L55" s="4" t="e">
        <f t="shared" si="5"/>
        <v>#VALUE!</v>
      </c>
      <c r="M55" s="24" t="e">
        <f t="shared" si="3"/>
        <v>#VALUE!</v>
      </c>
      <c r="N55" s="25" t="e">
        <f t="shared" si="4"/>
        <v>#VALUE!</v>
      </c>
    </row>
    <row r="56" spans="1:14" ht="44.4" customHeight="1" x14ac:dyDescent="0.3">
      <c r="A56" s="15">
        <f t="shared" si="0"/>
        <v>52</v>
      </c>
      <c r="B56" s="4">
        <f>IFERROR(Spatial!B53,"")</f>
        <v>0</v>
      </c>
      <c r="C56" s="6" t="str">
        <f>IFERROR('Service Coverage'!G53,0)</f>
        <v/>
      </c>
      <c r="D56" s="6" t="str">
        <f>IFERROR(Adequacy!J53,0)</f>
        <v/>
      </c>
      <c r="E56" s="6">
        <f>IFERROR('Water Quality Score'!F53,0)</f>
        <v>0</v>
      </c>
      <c r="F56" s="6" t="str">
        <f>IFERROR('Reliability score'!D53,0)</f>
        <v xml:space="preserve"> </v>
      </c>
      <c r="G56" s="4" t="e">
        <f t="shared" si="1"/>
        <v>#VALUE!</v>
      </c>
      <c r="H56" s="6">
        <f>IFERROR(NRW!H53,0)</f>
        <v>0</v>
      </c>
      <c r="I56" s="5" t="str">
        <f>IFERROR('O&amp;M score'!G53,0)</f>
        <v/>
      </c>
      <c r="J56" s="6" t="str">
        <f>IFERROR('Metering Ratio Score'!F53,0)</f>
        <v/>
      </c>
      <c r="K56" s="12" t="str">
        <f>IFERROR('Grievance Addressal'!E53,0)</f>
        <v xml:space="preserve"> </v>
      </c>
      <c r="L56" s="4" t="e">
        <f t="shared" si="5"/>
        <v>#VALUE!</v>
      </c>
      <c r="M56" s="24" t="e">
        <f t="shared" si="3"/>
        <v>#VALUE!</v>
      </c>
      <c r="N56" s="25" t="e">
        <f t="shared" si="4"/>
        <v>#VALUE!</v>
      </c>
    </row>
    <row r="57" spans="1:14" ht="44.4" customHeight="1" x14ac:dyDescent="0.3">
      <c r="A57" s="15">
        <f t="shared" si="0"/>
        <v>53</v>
      </c>
      <c r="B57" s="4">
        <f>IFERROR(Spatial!B54,"")</f>
        <v>0</v>
      </c>
      <c r="C57" s="6" t="str">
        <f>IFERROR('Service Coverage'!G54,0)</f>
        <v/>
      </c>
      <c r="D57" s="6" t="str">
        <f>IFERROR(Adequacy!J54,0)</f>
        <v/>
      </c>
      <c r="E57" s="6">
        <f>IFERROR('Water Quality Score'!F54,0)</f>
        <v>0</v>
      </c>
      <c r="F57" s="6" t="str">
        <f>IFERROR('Reliability score'!D54,0)</f>
        <v xml:space="preserve"> </v>
      </c>
      <c r="G57" s="4" t="e">
        <f t="shared" si="1"/>
        <v>#VALUE!</v>
      </c>
      <c r="H57" s="6">
        <f>IFERROR(NRW!H54,0)</f>
        <v>0</v>
      </c>
      <c r="I57" s="5" t="str">
        <f>IFERROR('O&amp;M score'!G54,0)</f>
        <v/>
      </c>
      <c r="J57" s="6" t="str">
        <f>IFERROR('Metering Ratio Score'!F54,0)</f>
        <v/>
      </c>
      <c r="K57" s="12" t="str">
        <f>IFERROR('Grievance Addressal'!E54,0)</f>
        <v xml:space="preserve"> </v>
      </c>
      <c r="L57" s="4" t="e">
        <f t="shared" si="5"/>
        <v>#VALUE!</v>
      </c>
      <c r="M57" s="24" t="e">
        <f t="shared" si="3"/>
        <v>#VALUE!</v>
      </c>
      <c r="N57" s="25" t="e">
        <f t="shared" si="4"/>
        <v>#VALUE!</v>
      </c>
    </row>
    <row r="58" spans="1:14" ht="44.4" customHeight="1" x14ac:dyDescent="0.3">
      <c r="A58" s="15">
        <f t="shared" si="0"/>
        <v>54</v>
      </c>
      <c r="B58" s="4">
        <f>IFERROR(Spatial!B55,"")</f>
        <v>0</v>
      </c>
      <c r="C58" s="6" t="str">
        <f>IFERROR('Service Coverage'!G55,0)</f>
        <v/>
      </c>
      <c r="D58" s="6" t="str">
        <f>IFERROR(Adequacy!J55,0)</f>
        <v/>
      </c>
      <c r="E58" s="6">
        <f>IFERROR('Water Quality Score'!F55,0)</f>
        <v>0</v>
      </c>
      <c r="F58" s="6" t="str">
        <f>IFERROR('Reliability score'!D55,0)</f>
        <v xml:space="preserve"> </v>
      </c>
      <c r="G58" s="4" t="e">
        <f t="shared" si="1"/>
        <v>#VALUE!</v>
      </c>
      <c r="H58" s="6">
        <f>IFERROR(NRW!H55,0)</f>
        <v>0</v>
      </c>
      <c r="I58" s="5" t="str">
        <f>IFERROR('O&amp;M score'!G55,0)</f>
        <v/>
      </c>
      <c r="J58" s="6" t="str">
        <f>IFERROR('Metering Ratio Score'!F55,0)</f>
        <v/>
      </c>
      <c r="K58" s="12" t="str">
        <f>IFERROR('Grievance Addressal'!E55,0)</f>
        <v xml:space="preserve"> </v>
      </c>
      <c r="L58" s="4" t="e">
        <f t="shared" si="5"/>
        <v>#VALUE!</v>
      </c>
      <c r="M58" s="24" t="e">
        <f t="shared" si="3"/>
        <v>#VALUE!</v>
      </c>
      <c r="N58" s="25" t="e">
        <f t="shared" si="4"/>
        <v>#VALUE!</v>
      </c>
    </row>
    <row r="59" spans="1:14" ht="44.4" customHeight="1" x14ac:dyDescent="0.3">
      <c r="A59" s="15">
        <f t="shared" si="0"/>
        <v>55</v>
      </c>
      <c r="B59" s="4">
        <f>IFERROR(Spatial!B56,"")</f>
        <v>0</v>
      </c>
      <c r="C59" s="6" t="str">
        <f>IFERROR('Service Coverage'!G56,0)</f>
        <v/>
      </c>
      <c r="D59" s="6" t="str">
        <f>IFERROR(Adequacy!J56,0)</f>
        <v/>
      </c>
      <c r="E59" s="6">
        <f>IFERROR('Water Quality Score'!F56,0)</f>
        <v>0</v>
      </c>
      <c r="F59" s="6" t="str">
        <f>IFERROR('Reliability score'!D56,0)</f>
        <v xml:space="preserve"> </v>
      </c>
      <c r="G59" s="4" t="e">
        <f t="shared" si="1"/>
        <v>#VALUE!</v>
      </c>
      <c r="H59" s="6">
        <f>IFERROR(NRW!H56,0)</f>
        <v>0</v>
      </c>
      <c r="I59" s="5" t="str">
        <f>IFERROR('O&amp;M score'!G56,0)</f>
        <v/>
      </c>
      <c r="J59" s="6" t="str">
        <f>IFERROR('Metering Ratio Score'!F56,0)</f>
        <v/>
      </c>
      <c r="K59" s="12" t="str">
        <f>IFERROR('Grievance Addressal'!E56,0)</f>
        <v xml:space="preserve"> </v>
      </c>
      <c r="L59" s="4" t="e">
        <f t="shared" si="5"/>
        <v>#VALUE!</v>
      </c>
      <c r="M59" s="24" t="e">
        <f t="shared" si="3"/>
        <v>#VALUE!</v>
      </c>
      <c r="N59" s="25" t="e">
        <f t="shared" si="4"/>
        <v>#VALUE!</v>
      </c>
    </row>
    <row r="60" spans="1:14" ht="44.4" customHeight="1" x14ac:dyDescent="0.3">
      <c r="A60" s="15">
        <f t="shared" si="0"/>
        <v>56</v>
      </c>
      <c r="B60" s="4">
        <f>IFERROR(Spatial!B57,"")</f>
        <v>0</v>
      </c>
      <c r="C60" s="6" t="str">
        <f>IFERROR('Service Coverage'!G57,0)</f>
        <v/>
      </c>
      <c r="D60" s="6" t="str">
        <f>IFERROR(Adequacy!J57,0)</f>
        <v/>
      </c>
      <c r="E60" s="6">
        <f>IFERROR('Water Quality Score'!F57,0)</f>
        <v>0</v>
      </c>
      <c r="F60" s="6" t="str">
        <f>IFERROR('Reliability score'!D57,0)</f>
        <v xml:space="preserve"> </v>
      </c>
      <c r="G60" s="4" t="e">
        <f t="shared" si="1"/>
        <v>#VALUE!</v>
      </c>
      <c r="H60" s="6">
        <f>IFERROR(NRW!H57,0)</f>
        <v>0</v>
      </c>
      <c r="I60" s="5" t="str">
        <f>IFERROR('O&amp;M score'!G57,0)</f>
        <v/>
      </c>
      <c r="J60" s="6" t="str">
        <f>IFERROR('Metering Ratio Score'!F57,0)</f>
        <v/>
      </c>
      <c r="K60" s="12" t="str">
        <f>IFERROR('Grievance Addressal'!E57,0)</f>
        <v xml:space="preserve"> </v>
      </c>
      <c r="L60" s="4" t="e">
        <f t="shared" si="5"/>
        <v>#VALUE!</v>
      </c>
      <c r="M60" s="24" t="e">
        <f t="shared" si="3"/>
        <v>#VALUE!</v>
      </c>
      <c r="N60" s="25" t="e">
        <f t="shared" si="4"/>
        <v>#VALUE!</v>
      </c>
    </row>
    <row r="61" spans="1:14" ht="44.4" customHeight="1" x14ac:dyDescent="0.3">
      <c r="A61" s="15">
        <f t="shared" si="0"/>
        <v>57</v>
      </c>
      <c r="B61" s="4">
        <f>IFERROR(Spatial!B58,"")</f>
        <v>0</v>
      </c>
      <c r="C61" s="6" t="str">
        <f>IFERROR('Service Coverage'!G58,0)</f>
        <v/>
      </c>
      <c r="D61" s="6" t="str">
        <f>IFERROR(Adequacy!J58,0)</f>
        <v/>
      </c>
      <c r="E61" s="6">
        <f>IFERROR('Water Quality Score'!F58,0)</f>
        <v>0</v>
      </c>
      <c r="F61" s="6" t="str">
        <f>IFERROR('Reliability score'!D58,0)</f>
        <v xml:space="preserve"> </v>
      </c>
      <c r="G61" s="4" t="e">
        <f t="shared" si="1"/>
        <v>#VALUE!</v>
      </c>
      <c r="H61" s="6">
        <f>IFERROR(NRW!H58,0)</f>
        <v>0</v>
      </c>
      <c r="I61" s="5" t="str">
        <f>IFERROR('O&amp;M score'!G58,0)</f>
        <v/>
      </c>
      <c r="J61" s="6" t="str">
        <f>IFERROR('Metering Ratio Score'!F58,0)</f>
        <v/>
      </c>
      <c r="K61" s="12" t="str">
        <f>IFERROR('Grievance Addressal'!E58,0)</f>
        <v xml:space="preserve"> </v>
      </c>
      <c r="L61" s="4" t="e">
        <f t="shared" si="5"/>
        <v>#VALUE!</v>
      </c>
      <c r="M61" s="24" t="e">
        <f t="shared" si="3"/>
        <v>#VALUE!</v>
      </c>
      <c r="N61" s="25" t="e">
        <f t="shared" si="4"/>
        <v>#VALUE!</v>
      </c>
    </row>
    <row r="62" spans="1:14" ht="44.4" customHeight="1" x14ac:dyDescent="0.3">
      <c r="A62" s="15">
        <f t="shared" si="0"/>
        <v>58</v>
      </c>
      <c r="B62" s="4">
        <f>IFERROR(Spatial!B59,"")</f>
        <v>0</v>
      </c>
      <c r="C62" s="6" t="str">
        <f>IFERROR('Service Coverage'!G59,0)</f>
        <v/>
      </c>
      <c r="D62" s="6" t="str">
        <f>IFERROR(Adequacy!J59,0)</f>
        <v/>
      </c>
      <c r="E62" s="6">
        <f>IFERROR('Water Quality Score'!F59,0)</f>
        <v>0</v>
      </c>
      <c r="F62" s="6" t="str">
        <f>IFERROR('Reliability score'!D59,0)</f>
        <v xml:space="preserve"> </v>
      </c>
      <c r="G62" s="4" t="e">
        <f t="shared" si="1"/>
        <v>#VALUE!</v>
      </c>
      <c r="H62" s="6">
        <f>IFERROR(NRW!H59,0)</f>
        <v>0</v>
      </c>
      <c r="I62" s="5" t="str">
        <f>IFERROR('O&amp;M score'!G59,0)</f>
        <v/>
      </c>
      <c r="J62" s="6" t="str">
        <f>IFERROR('Metering Ratio Score'!F59,0)</f>
        <v/>
      </c>
      <c r="K62" s="12" t="str">
        <f>IFERROR('Grievance Addressal'!E59,0)</f>
        <v xml:space="preserve"> </v>
      </c>
      <c r="L62" s="4" t="e">
        <f t="shared" si="5"/>
        <v>#VALUE!</v>
      </c>
      <c r="M62" s="24" t="e">
        <f t="shared" si="3"/>
        <v>#VALUE!</v>
      </c>
      <c r="N62" s="25" t="e">
        <f t="shared" si="4"/>
        <v>#VALUE!</v>
      </c>
    </row>
    <row r="63" spans="1:14" ht="44.4" customHeight="1" x14ac:dyDescent="0.3">
      <c r="A63" s="15">
        <f t="shared" si="0"/>
        <v>59</v>
      </c>
      <c r="B63" s="4">
        <f>IFERROR(Spatial!B60,"")</f>
        <v>0</v>
      </c>
      <c r="C63" s="6" t="str">
        <f>IFERROR('Service Coverage'!G60,0)</f>
        <v/>
      </c>
      <c r="D63" s="6" t="str">
        <f>IFERROR(Adequacy!J60,0)</f>
        <v/>
      </c>
      <c r="E63" s="6">
        <f>IFERROR('Water Quality Score'!F60,0)</f>
        <v>0</v>
      </c>
      <c r="F63" s="6" t="str">
        <f>IFERROR('Reliability score'!D60,0)</f>
        <v xml:space="preserve"> </v>
      </c>
      <c r="G63" s="4" t="e">
        <f t="shared" si="1"/>
        <v>#VALUE!</v>
      </c>
      <c r="H63" s="6">
        <f>IFERROR(NRW!H60,0)</f>
        <v>0</v>
      </c>
      <c r="I63" s="5" t="str">
        <f>IFERROR('O&amp;M score'!G60,0)</f>
        <v/>
      </c>
      <c r="J63" s="6" t="str">
        <f>IFERROR('Metering Ratio Score'!F60,0)</f>
        <v/>
      </c>
      <c r="K63" s="12" t="str">
        <f>IFERROR('Grievance Addressal'!E60,0)</f>
        <v xml:space="preserve"> </v>
      </c>
      <c r="L63" s="4" t="e">
        <f t="shared" si="5"/>
        <v>#VALUE!</v>
      </c>
      <c r="M63" s="24" t="e">
        <f t="shared" si="3"/>
        <v>#VALUE!</v>
      </c>
      <c r="N63" s="25" t="e">
        <f t="shared" si="4"/>
        <v>#VALUE!</v>
      </c>
    </row>
    <row r="64" spans="1:14" ht="44.4" customHeight="1" x14ac:dyDescent="0.3">
      <c r="A64" s="15">
        <f t="shared" si="0"/>
        <v>60</v>
      </c>
      <c r="B64" s="4">
        <f>IFERROR(Spatial!B61,"")</f>
        <v>0</v>
      </c>
      <c r="C64" s="6" t="str">
        <f>IFERROR('Service Coverage'!G61,0)</f>
        <v/>
      </c>
      <c r="D64" s="6" t="str">
        <f>IFERROR(Adequacy!J61,0)</f>
        <v/>
      </c>
      <c r="E64" s="6">
        <f>IFERROR('Water Quality Score'!F61,0)</f>
        <v>0</v>
      </c>
      <c r="F64" s="6" t="str">
        <f>IFERROR('Reliability score'!D61,0)</f>
        <v xml:space="preserve"> </v>
      </c>
      <c r="G64" s="4" t="e">
        <f t="shared" si="1"/>
        <v>#VALUE!</v>
      </c>
      <c r="H64" s="6">
        <f>IFERROR(NRW!H61,0)</f>
        <v>0</v>
      </c>
      <c r="I64" s="5" t="str">
        <f>IFERROR('O&amp;M score'!G61,0)</f>
        <v/>
      </c>
      <c r="J64" s="6" t="str">
        <f>IFERROR('Metering Ratio Score'!F61,0)</f>
        <v/>
      </c>
      <c r="K64" s="12" t="str">
        <f>IFERROR('Grievance Addressal'!E61,0)</f>
        <v xml:space="preserve"> </v>
      </c>
      <c r="L64" s="4" t="e">
        <f t="shared" si="5"/>
        <v>#VALUE!</v>
      </c>
      <c r="M64" s="24" t="e">
        <f t="shared" si="3"/>
        <v>#VALUE!</v>
      </c>
      <c r="N64" s="25" t="e">
        <f t="shared" si="4"/>
        <v>#VALUE!</v>
      </c>
    </row>
    <row r="65" spans="1:14" ht="44.4" customHeight="1" x14ac:dyDescent="0.3">
      <c r="A65" s="15">
        <f t="shared" si="0"/>
        <v>61</v>
      </c>
      <c r="B65" s="4">
        <f>IFERROR(Spatial!B62,"")</f>
        <v>0</v>
      </c>
      <c r="C65" s="6" t="str">
        <f>IFERROR('Service Coverage'!G62,0)</f>
        <v/>
      </c>
      <c r="D65" s="6" t="str">
        <f>IFERROR(Adequacy!J62,0)</f>
        <v/>
      </c>
      <c r="E65" s="6">
        <f>IFERROR('Water Quality Score'!F62,0)</f>
        <v>0</v>
      </c>
      <c r="F65" s="6" t="str">
        <f>IFERROR('Reliability score'!D62,0)</f>
        <v xml:space="preserve"> </v>
      </c>
      <c r="G65" s="4" t="e">
        <f t="shared" si="1"/>
        <v>#VALUE!</v>
      </c>
      <c r="H65" s="6">
        <f>IFERROR(NRW!H62,0)</f>
        <v>0</v>
      </c>
      <c r="I65" s="5" t="str">
        <f>IFERROR('O&amp;M score'!G62,0)</f>
        <v/>
      </c>
      <c r="J65" s="6" t="str">
        <f>IFERROR('Metering Ratio Score'!F62,0)</f>
        <v/>
      </c>
      <c r="K65" s="12" t="str">
        <f>IFERROR('Grievance Addressal'!E62,0)</f>
        <v xml:space="preserve"> </v>
      </c>
      <c r="L65" s="4" t="e">
        <f t="shared" si="5"/>
        <v>#VALUE!</v>
      </c>
      <c r="M65" s="24" t="e">
        <f t="shared" si="3"/>
        <v>#VALUE!</v>
      </c>
      <c r="N65" s="25" t="e">
        <f t="shared" si="4"/>
        <v>#VALUE!</v>
      </c>
    </row>
    <row r="66" spans="1:14" ht="44.4" customHeight="1" x14ac:dyDescent="0.3">
      <c r="A66" s="15">
        <f t="shared" si="0"/>
        <v>62</v>
      </c>
      <c r="B66" s="4">
        <f>IFERROR(Spatial!B63,"")</f>
        <v>0</v>
      </c>
      <c r="C66" s="6" t="str">
        <f>IFERROR('Service Coverage'!G63,0)</f>
        <v/>
      </c>
      <c r="D66" s="6" t="str">
        <f>IFERROR(Adequacy!J63,0)</f>
        <v/>
      </c>
      <c r="E66" s="6">
        <f>IFERROR('Water Quality Score'!F63,0)</f>
        <v>0</v>
      </c>
      <c r="F66" s="6" t="str">
        <f>IFERROR('Reliability score'!D63,0)</f>
        <v xml:space="preserve"> </v>
      </c>
      <c r="G66" s="4" t="e">
        <f t="shared" si="1"/>
        <v>#VALUE!</v>
      </c>
      <c r="H66" s="6">
        <f>IFERROR(NRW!H63,0)</f>
        <v>0</v>
      </c>
      <c r="I66" s="5" t="str">
        <f>IFERROR('O&amp;M score'!G63,0)</f>
        <v/>
      </c>
      <c r="J66" s="6" t="str">
        <f>IFERROR('Metering Ratio Score'!F63,0)</f>
        <v/>
      </c>
      <c r="K66" s="12" t="str">
        <f>IFERROR('Grievance Addressal'!E63,0)</f>
        <v xml:space="preserve"> </v>
      </c>
      <c r="L66" s="4" t="e">
        <f t="shared" si="5"/>
        <v>#VALUE!</v>
      </c>
      <c r="M66" s="24" t="e">
        <f t="shared" si="3"/>
        <v>#VALUE!</v>
      </c>
      <c r="N66" s="25" t="e">
        <f t="shared" si="4"/>
        <v>#VALUE!</v>
      </c>
    </row>
    <row r="67" spans="1:14" ht="44.4" customHeight="1" x14ac:dyDescent="0.3">
      <c r="A67" s="15">
        <f t="shared" si="0"/>
        <v>63</v>
      </c>
      <c r="B67" s="4">
        <f>IFERROR(Spatial!B64,"")</f>
        <v>0</v>
      </c>
      <c r="C67" s="6" t="str">
        <f>IFERROR('Service Coverage'!G64,0)</f>
        <v/>
      </c>
      <c r="D67" s="6" t="str">
        <f>IFERROR(Adequacy!J64,0)</f>
        <v/>
      </c>
      <c r="E67" s="6">
        <f>IFERROR('Water Quality Score'!F64,0)</f>
        <v>0</v>
      </c>
      <c r="F67" s="6" t="str">
        <f>IFERROR('Reliability score'!D64,0)</f>
        <v xml:space="preserve"> </v>
      </c>
      <c r="G67" s="4" t="e">
        <f t="shared" si="1"/>
        <v>#VALUE!</v>
      </c>
      <c r="H67" s="6">
        <f>IFERROR(NRW!H64,0)</f>
        <v>0</v>
      </c>
      <c r="I67" s="5" t="str">
        <f>IFERROR('O&amp;M score'!G64,0)</f>
        <v/>
      </c>
      <c r="J67" s="6" t="str">
        <f>IFERROR('Metering Ratio Score'!F64,0)</f>
        <v/>
      </c>
      <c r="K67" s="12" t="str">
        <f>IFERROR('Grievance Addressal'!E64,0)</f>
        <v xml:space="preserve"> </v>
      </c>
      <c r="L67" s="4" t="e">
        <f t="shared" si="5"/>
        <v>#VALUE!</v>
      </c>
      <c r="M67" s="24" t="e">
        <f t="shared" si="3"/>
        <v>#VALUE!</v>
      </c>
      <c r="N67" s="25" t="e">
        <f t="shared" si="4"/>
        <v>#VALUE!</v>
      </c>
    </row>
    <row r="68" spans="1:14" ht="44.4" customHeight="1" x14ac:dyDescent="0.3">
      <c r="A68" s="15">
        <f t="shared" si="0"/>
        <v>64</v>
      </c>
      <c r="B68" s="4">
        <f>IFERROR(Spatial!B65,"")</f>
        <v>0</v>
      </c>
      <c r="C68" s="6" t="str">
        <f>IFERROR('Service Coverage'!G65,0)</f>
        <v/>
      </c>
      <c r="D68" s="6" t="str">
        <f>IFERROR(Adequacy!J65,0)</f>
        <v/>
      </c>
      <c r="E68" s="6">
        <f>IFERROR('Water Quality Score'!F65,0)</f>
        <v>0</v>
      </c>
      <c r="F68" s="6" t="str">
        <f>IFERROR('Reliability score'!D65,0)</f>
        <v xml:space="preserve"> </v>
      </c>
      <c r="G68" s="4" t="e">
        <f t="shared" si="1"/>
        <v>#VALUE!</v>
      </c>
      <c r="H68" s="6">
        <f>IFERROR(NRW!H65,0)</f>
        <v>0</v>
      </c>
      <c r="I68" s="5" t="str">
        <f>IFERROR('O&amp;M score'!G65,0)</f>
        <v/>
      </c>
      <c r="J68" s="6" t="str">
        <f>IFERROR('Metering Ratio Score'!F65,0)</f>
        <v/>
      </c>
      <c r="K68" s="12" t="str">
        <f>IFERROR('Grievance Addressal'!E65,0)</f>
        <v xml:space="preserve"> </v>
      </c>
      <c r="L68" s="4" t="e">
        <f t="shared" si="5"/>
        <v>#VALUE!</v>
      </c>
      <c r="M68" s="24" t="e">
        <f t="shared" si="3"/>
        <v>#VALUE!</v>
      </c>
      <c r="N68" s="25" t="e">
        <f t="shared" si="4"/>
        <v>#VALUE!</v>
      </c>
    </row>
    <row r="69" spans="1:14" ht="44.4" customHeight="1" x14ac:dyDescent="0.3">
      <c r="A69" s="15">
        <f t="shared" si="0"/>
        <v>65</v>
      </c>
      <c r="B69" s="4">
        <f>IFERROR(Spatial!B66,"")</f>
        <v>0</v>
      </c>
      <c r="C69" s="6" t="str">
        <f>IFERROR('Service Coverage'!G66,0)</f>
        <v/>
      </c>
      <c r="D69" s="6" t="str">
        <f>IFERROR(Adequacy!J66,0)</f>
        <v/>
      </c>
      <c r="E69" s="6">
        <f>IFERROR('Water Quality Score'!F66,0)</f>
        <v>0</v>
      </c>
      <c r="F69" s="6" t="str">
        <f>IFERROR('Reliability score'!D66,0)</f>
        <v xml:space="preserve"> </v>
      </c>
      <c r="G69" s="4" t="e">
        <f t="shared" si="1"/>
        <v>#VALUE!</v>
      </c>
      <c r="H69" s="6">
        <f>IFERROR(NRW!H66,0)</f>
        <v>0</v>
      </c>
      <c r="I69" s="5" t="str">
        <f>IFERROR('O&amp;M score'!G66,0)</f>
        <v/>
      </c>
      <c r="J69" s="6" t="str">
        <f>IFERROR('Metering Ratio Score'!F66,0)</f>
        <v/>
      </c>
      <c r="K69" s="12" t="str">
        <f>IFERROR('Grievance Addressal'!E66,0)</f>
        <v xml:space="preserve"> </v>
      </c>
      <c r="L69" s="4" t="e">
        <f t="shared" si="5"/>
        <v>#VALUE!</v>
      </c>
      <c r="M69" s="24" t="e">
        <f t="shared" si="3"/>
        <v>#VALUE!</v>
      </c>
      <c r="N69" s="25" t="e">
        <f t="shared" si="4"/>
        <v>#VALUE!</v>
      </c>
    </row>
    <row r="70" spans="1:14" ht="44.4" customHeight="1" x14ac:dyDescent="0.3">
      <c r="A70" s="15">
        <f t="shared" si="0"/>
        <v>66</v>
      </c>
      <c r="B70" s="4">
        <f>IFERROR(Spatial!B67,"")</f>
        <v>0</v>
      </c>
      <c r="C70" s="6" t="str">
        <f>IFERROR('Service Coverage'!G67,0)</f>
        <v/>
      </c>
      <c r="D70" s="6" t="str">
        <f>IFERROR(Adequacy!J67,0)</f>
        <v/>
      </c>
      <c r="E70" s="6">
        <f>IFERROR('Water Quality Score'!F67,0)</f>
        <v>0</v>
      </c>
      <c r="F70" s="6" t="str">
        <f>IFERROR('Reliability score'!D67,0)</f>
        <v xml:space="preserve"> </v>
      </c>
      <c r="G70" s="4" t="e">
        <f t="shared" si="1"/>
        <v>#VALUE!</v>
      </c>
      <c r="H70" s="6">
        <f>IFERROR(NRW!H67,0)</f>
        <v>0</v>
      </c>
      <c r="I70" s="5" t="str">
        <f>IFERROR('O&amp;M score'!G67,0)</f>
        <v/>
      </c>
      <c r="J70" s="6" t="str">
        <f>IFERROR('Metering Ratio Score'!F67,0)</f>
        <v/>
      </c>
      <c r="K70" s="12" t="str">
        <f>IFERROR('Grievance Addressal'!E67,0)</f>
        <v xml:space="preserve"> </v>
      </c>
      <c r="L70" s="4" t="e">
        <f t="shared" si="5"/>
        <v>#VALUE!</v>
      </c>
      <c r="M70" s="24" t="e">
        <f t="shared" si="3"/>
        <v>#VALUE!</v>
      </c>
      <c r="N70" s="25" t="e">
        <f t="shared" si="4"/>
        <v>#VALUE!</v>
      </c>
    </row>
    <row r="71" spans="1:14" ht="44.4" customHeight="1" x14ac:dyDescent="0.3">
      <c r="A71" s="15">
        <f t="shared" ref="A71:A72" si="6">A70+1</f>
        <v>67</v>
      </c>
      <c r="B71" s="4">
        <f>IFERROR(Spatial!B68,"")</f>
        <v>0</v>
      </c>
      <c r="C71" s="6" t="str">
        <f>IFERROR('Service Coverage'!G68,0)</f>
        <v/>
      </c>
      <c r="D71" s="6" t="str">
        <f>IFERROR(Adequacy!J68,0)</f>
        <v/>
      </c>
      <c r="E71" s="6">
        <f>IFERROR('Water Quality Score'!F68,0)</f>
        <v>0</v>
      </c>
      <c r="F71" s="6" t="str">
        <f>IFERROR('Reliability score'!D68,0)</f>
        <v xml:space="preserve"> </v>
      </c>
      <c r="G71" s="4" t="e">
        <f t="shared" si="1"/>
        <v>#VALUE!</v>
      </c>
      <c r="H71" s="6">
        <f>IFERROR(NRW!H68,0)</f>
        <v>0</v>
      </c>
      <c r="I71" s="5" t="str">
        <f>IFERROR('O&amp;M score'!G68,0)</f>
        <v/>
      </c>
      <c r="J71" s="6" t="str">
        <f>IFERROR('Metering Ratio Score'!F68,0)</f>
        <v/>
      </c>
      <c r="K71" s="12" t="str">
        <f>IFERROR('Grievance Addressal'!E68,0)</f>
        <v xml:space="preserve"> </v>
      </c>
      <c r="L71" s="4" t="e">
        <f t="shared" si="5"/>
        <v>#VALUE!</v>
      </c>
      <c r="M71" s="24" t="e">
        <f t="shared" si="3"/>
        <v>#VALUE!</v>
      </c>
      <c r="N71" s="25" t="e">
        <f t="shared" si="4"/>
        <v>#VALUE!</v>
      </c>
    </row>
    <row r="72" spans="1:14" ht="44.4" customHeight="1" x14ac:dyDescent="0.3">
      <c r="A72" s="15">
        <f t="shared" si="6"/>
        <v>68</v>
      </c>
      <c r="B72" s="4">
        <f>IFERROR(Spatial!B69,"")</f>
        <v>0</v>
      </c>
      <c r="C72" s="6" t="str">
        <f>IFERROR('Service Coverage'!G69,0)</f>
        <v/>
      </c>
      <c r="D72" s="6" t="str">
        <f>IFERROR(Adequacy!J69,0)</f>
        <v/>
      </c>
      <c r="E72" s="6">
        <f>IFERROR('Water Quality Score'!F69,0)</f>
        <v>0</v>
      </c>
      <c r="F72" s="6" t="str">
        <f>IFERROR('Reliability score'!D69,0)</f>
        <v xml:space="preserve"> </v>
      </c>
      <c r="G72" s="4" t="e">
        <f t="shared" si="1"/>
        <v>#VALUE!</v>
      </c>
      <c r="H72" s="6">
        <f>IFERROR(NRW!H69,0)</f>
        <v>0</v>
      </c>
      <c r="I72" s="5" t="str">
        <f>IFERROR('O&amp;M score'!G69,0)</f>
        <v/>
      </c>
      <c r="J72" s="6" t="str">
        <f>IFERROR('Metering Ratio Score'!F69,0)</f>
        <v/>
      </c>
      <c r="K72" s="12" t="str">
        <f>IFERROR('Grievance Addressal'!E69,0)</f>
        <v xml:space="preserve"> </v>
      </c>
      <c r="L72" s="4" t="e">
        <f t="shared" si="5"/>
        <v>#VALUE!</v>
      </c>
      <c r="M72" s="24" t="e">
        <f t="shared" si="3"/>
        <v>#VALUE!</v>
      </c>
      <c r="N72" s="25" t="e">
        <f t="shared" si="4"/>
        <v>#VALUE!</v>
      </c>
    </row>
    <row r="91" spans="1:6" ht="44.4" customHeight="1" thickBot="1" x14ac:dyDescent="0.35"/>
    <row r="92" spans="1:6" ht="44.4" customHeight="1" thickBot="1" x14ac:dyDescent="0.35">
      <c r="A92" s="32" t="s">
        <v>259</v>
      </c>
      <c r="B92" s="71" t="s">
        <v>260</v>
      </c>
      <c r="C92" s="78"/>
      <c r="D92" s="71" t="s">
        <v>261</v>
      </c>
      <c r="E92" s="78"/>
      <c r="F92" s="33" t="s">
        <v>262</v>
      </c>
    </row>
    <row r="93" spans="1:6" ht="44.4" customHeight="1" x14ac:dyDescent="0.3">
      <c r="A93" s="79">
        <v>1</v>
      </c>
      <c r="B93" s="78" t="s">
        <v>263</v>
      </c>
      <c r="C93" s="78"/>
      <c r="D93" s="73" t="s">
        <v>264</v>
      </c>
      <c r="E93" s="80"/>
      <c r="F93" s="34" t="s">
        <v>265</v>
      </c>
    </row>
    <row r="94" spans="1:6" ht="44.4" customHeight="1" x14ac:dyDescent="0.3">
      <c r="A94" s="81">
        <v>2</v>
      </c>
      <c r="B94" s="82" t="s">
        <v>266</v>
      </c>
      <c r="C94" s="82"/>
      <c r="D94" s="68" t="s">
        <v>264</v>
      </c>
      <c r="E94" s="77"/>
      <c r="F94" s="35" t="s">
        <v>267</v>
      </c>
    </row>
    <row r="95" spans="1:6" ht="44.4" customHeight="1" x14ac:dyDescent="0.3">
      <c r="A95" s="81">
        <v>3</v>
      </c>
      <c r="B95" s="82" t="s">
        <v>268</v>
      </c>
      <c r="C95" s="82"/>
      <c r="D95" s="68" t="s">
        <v>264</v>
      </c>
      <c r="E95" s="77"/>
      <c r="F95" s="35" t="s">
        <v>269</v>
      </c>
    </row>
    <row r="96" spans="1:6" ht="44.4" customHeight="1" x14ac:dyDescent="0.3">
      <c r="A96" s="81">
        <v>4</v>
      </c>
      <c r="B96" s="82" t="s">
        <v>270</v>
      </c>
      <c r="C96" s="82"/>
      <c r="D96" s="68" t="s">
        <v>271</v>
      </c>
      <c r="E96" s="77"/>
      <c r="F96" s="35" t="s">
        <v>272</v>
      </c>
    </row>
    <row r="97" spans="1:15" ht="44.4" customHeight="1" x14ac:dyDescent="0.3">
      <c r="A97" s="81">
        <v>5</v>
      </c>
      <c r="B97" s="82" t="s">
        <v>273</v>
      </c>
      <c r="C97" s="82"/>
      <c r="D97" s="68" t="s">
        <v>271</v>
      </c>
      <c r="E97" s="77"/>
      <c r="F97" s="35" t="s">
        <v>274</v>
      </c>
    </row>
    <row r="98" spans="1:15" ht="44.4" customHeight="1" x14ac:dyDescent="0.3">
      <c r="A98" s="81">
        <v>6</v>
      </c>
      <c r="B98" s="82" t="s">
        <v>275</v>
      </c>
      <c r="C98" s="82"/>
      <c r="D98" s="68" t="s">
        <v>276</v>
      </c>
      <c r="E98" s="77"/>
      <c r="F98" s="35" t="s">
        <v>277</v>
      </c>
    </row>
    <row r="99" spans="1:15" ht="44.4" customHeight="1" x14ac:dyDescent="0.3">
      <c r="A99" s="81">
        <v>7</v>
      </c>
      <c r="B99" s="82" t="s">
        <v>278</v>
      </c>
      <c r="C99" s="82"/>
      <c r="D99" s="68" t="s">
        <v>276</v>
      </c>
      <c r="E99" s="77"/>
      <c r="F99" s="35" t="s">
        <v>279</v>
      </c>
    </row>
    <row r="100" spans="1:15" ht="44.4" customHeight="1" x14ac:dyDescent="0.3">
      <c r="A100" s="81">
        <v>8</v>
      </c>
      <c r="B100" s="82" t="s">
        <v>280</v>
      </c>
      <c r="C100" s="82"/>
      <c r="D100" s="68" t="s">
        <v>276</v>
      </c>
      <c r="E100" s="77"/>
      <c r="F100" s="35" t="s">
        <v>277</v>
      </c>
    </row>
    <row r="101" spans="1:15" ht="44.4" customHeight="1" thickBot="1" x14ac:dyDescent="0.35">
      <c r="A101" s="83">
        <v>9</v>
      </c>
      <c r="B101" s="84" t="s">
        <v>281</v>
      </c>
      <c r="C101" s="84"/>
      <c r="D101" s="66" t="s">
        <v>276</v>
      </c>
      <c r="E101" s="85"/>
      <c r="F101" s="36" t="s">
        <v>282</v>
      </c>
    </row>
    <row r="102" spans="1:15" ht="44.4" customHeight="1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</sheetData>
  <mergeCells count="26">
    <mergeCell ref="A1:N1"/>
    <mergeCell ref="C3:F3"/>
    <mergeCell ref="B92:C92"/>
    <mergeCell ref="D94:E94"/>
    <mergeCell ref="D92:E92"/>
    <mergeCell ref="A3:B3"/>
    <mergeCell ref="B94:C94"/>
    <mergeCell ref="H2:O2"/>
    <mergeCell ref="D93:E93"/>
    <mergeCell ref="A2:G2"/>
    <mergeCell ref="D101:E101"/>
    <mergeCell ref="B97:C97"/>
    <mergeCell ref="H3:K3"/>
    <mergeCell ref="D100:E100"/>
    <mergeCell ref="B99:C99"/>
    <mergeCell ref="B93:C93"/>
    <mergeCell ref="B95:C95"/>
    <mergeCell ref="B98:C98"/>
    <mergeCell ref="D98:E98"/>
    <mergeCell ref="D97:E97"/>
    <mergeCell ref="B100:C100"/>
    <mergeCell ref="D99:E99"/>
    <mergeCell ref="B96:C96"/>
    <mergeCell ref="D96:E96"/>
    <mergeCell ref="B101:C101"/>
    <mergeCell ref="D95:E9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Mastersheet</vt:lpstr>
      <vt:lpstr>Spatial</vt:lpstr>
      <vt:lpstr>Service Coverage</vt:lpstr>
      <vt:lpstr>Adequacy</vt:lpstr>
      <vt:lpstr>Water Quality Score</vt:lpstr>
      <vt:lpstr>Reliability score</vt:lpstr>
      <vt:lpstr>NRW</vt:lpstr>
      <vt:lpstr>O&amp;M score</vt:lpstr>
      <vt:lpstr>Metering Ratio Score</vt:lpstr>
      <vt:lpstr>Grievance Addressal</vt:lpstr>
      <vt:lpstr>Summary_Index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Shrestha</dc:creator>
  <cp:lastModifiedBy>Pranit Shrestha</cp:lastModifiedBy>
  <cp:revision>0</cp:revision>
  <dcterms:created xsi:type="dcterms:W3CDTF">2026-02-07T11:27:18Z</dcterms:created>
  <dcterms:modified xsi:type="dcterms:W3CDTF">2026-04-10T09:21:53Z</dcterms:modified>
  <dc:language>en-US</dc:language>
</cp:coreProperties>
</file>